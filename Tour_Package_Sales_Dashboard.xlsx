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24226"/>
  <mc:AlternateContent xmlns:mc="http://schemas.openxmlformats.org/markup-compatibility/2006">
    <mc:Choice Requires="x15">
      <x15ac:absPath xmlns:x15ac="http://schemas.microsoft.com/office/spreadsheetml/2010/11/ac" url="D:\Dipti_Edu\Data Science_Analytics Ai Course\01.Excel\Project\"/>
    </mc:Choice>
  </mc:AlternateContent>
  <xr:revisionPtr revIDLastSave="0" documentId="13_ncr:1_{19AE81AD-20D4-45C3-85D9-677EFA7B50F6}" xr6:coauthVersionLast="47" xr6:coauthVersionMax="47" xr10:uidLastSave="{00000000-0000-0000-0000-000000000000}"/>
  <bookViews>
    <workbookView xWindow="-108" yWindow="-108" windowWidth="23256" windowHeight="12456" activeTab="2" xr2:uid="{00000000-000D-0000-FFFF-FFFF00000000}"/>
  </bookViews>
  <sheets>
    <sheet name="Data" sheetId="1" r:id="rId1"/>
    <sheet name="Pivot Table Calculations" sheetId="6" r:id="rId2"/>
    <sheet name="Dashboard" sheetId="5" r:id="rId3"/>
  </sheets>
  <definedNames>
    <definedName name="_xlnm._FilterDatabase" localSheetId="0" hidden="1">Data!$A$2:$X$2</definedName>
    <definedName name="Slicer_Age_Group">#N/A</definedName>
    <definedName name="Slicer_Month">#N/A</definedName>
    <definedName name="Slicer_Package_Category">#N/A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W3" i="1" l="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3" i="1"/>
  <c r="R4" i="1" l="1"/>
  <c r="R8" i="1"/>
  <c r="R11" i="1"/>
  <c r="R17" i="1"/>
  <c r="R20" i="1"/>
  <c r="R23" i="1"/>
  <c r="R28" i="1"/>
  <c r="R30" i="1"/>
  <c r="R35" i="1"/>
  <c r="R37" i="1"/>
  <c r="R39" i="1"/>
  <c r="R40" i="1"/>
  <c r="R43" i="1"/>
  <c r="R50" i="1"/>
  <c r="R52" i="1"/>
  <c r="R54" i="1"/>
  <c r="R55" i="1"/>
  <c r="R58" i="1"/>
  <c r="R61" i="1"/>
  <c r="R62" i="1"/>
  <c r="R63" i="1"/>
  <c r="R66" i="1"/>
  <c r="R67" i="1"/>
  <c r="R69" i="1"/>
  <c r="R71" i="1"/>
  <c r="R76" i="1"/>
  <c r="R78" i="1"/>
  <c r="R80" i="1"/>
  <c r="R81" i="1"/>
  <c r="R82" i="1"/>
  <c r="R85" i="1"/>
  <c r="R86" i="1"/>
  <c r="R87" i="1"/>
  <c r="R91" i="1"/>
  <c r="R99" i="1"/>
  <c r="R102" i="1"/>
  <c r="R104" i="1"/>
  <c r="R106" i="1"/>
  <c r="R107" i="1"/>
  <c r="R108" i="1"/>
  <c r="R110" i="1"/>
  <c r="R112" i="1"/>
  <c r="R114" i="1"/>
  <c r="R116" i="1"/>
  <c r="R117" i="1"/>
  <c r="R118" i="1"/>
  <c r="R119" i="1"/>
  <c r="R120" i="1"/>
  <c r="R124" i="1"/>
  <c r="R125" i="1"/>
  <c r="R127" i="1"/>
  <c r="R129" i="1"/>
  <c r="R130" i="1"/>
  <c r="R131" i="1"/>
  <c r="R132" i="1"/>
  <c r="R137" i="1"/>
  <c r="R139" i="1"/>
  <c r="R140" i="1"/>
  <c r="R141" i="1"/>
  <c r="R142" i="1"/>
  <c r="R143" i="1"/>
  <c r="R144" i="1"/>
  <c r="R145" i="1"/>
  <c r="R149" i="1"/>
  <c r="R150" i="1"/>
  <c r="R152" i="1"/>
  <c r="R153" i="1"/>
  <c r="R154" i="1"/>
  <c r="R156" i="1"/>
  <c r="R157" i="1"/>
  <c r="R162" i="1"/>
  <c r="R164" i="1"/>
  <c r="R165" i="1"/>
  <c r="R167" i="1"/>
  <c r="R168" i="1"/>
  <c r="R171" i="1"/>
  <c r="R172" i="1"/>
  <c r="R174" i="1"/>
  <c r="R175" i="1"/>
  <c r="R178" i="1"/>
  <c r="R179" i="1"/>
  <c r="R180" i="1"/>
  <c r="R181" i="1"/>
  <c r="R185" i="1"/>
  <c r="R186" i="1"/>
  <c r="R187" i="1"/>
  <c r="R188" i="1"/>
  <c r="R189" i="1"/>
  <c r="R190" i="1"/>
  <c r="R192" i="1"/>
  <c r="R194" i="1"/>
  <c r="R195" i="1"/>
  <c r="R196" i="1"/>
  <c r="R198" i="1"/>
  <c r="R201" i="1"/>
  <c r="R202" i="1"/>
  <c r="R203" i="1"/>
  <c r="R204" i="1"/>
  <c r="R206" i="1"/>
  <c r="R208" i="1"/>
  <c r="R210" i="1"/>
  <c r="R213" i="1"/>
  <c r="R215" i="1"/>
  <c r="R216" i="1"/>
  <c r="R218" i="1"/>
  <c r="R219" i="1"/>
  <c r="R220" i="1"/>
  <c r="R223" i="1"/>
  <c r="R227" i="1"/>
  <c r="R232" i="1"/>
  <c r="R233" i="1"/>
  <c r="R234" i="1"/>
  <c r="R235" i="1"/>
  <c r="R237" i="1"/>
  <c r="R238" i="1"/>
  <c r="R239" i="1"/>
  <c r="R243" i="1"/>
  <c r="R245" i="1"/>
  <c r="R247" i="1"/>
  <c r="R248" i="1"/>
  <c r="R249" i="1"/>
  <c r="R250" i="1"/>
  <c r="R251" i="1"/>
  <c r="R254" i="1"/>
  <c r="R255" i="1"/>
  <c r="R261" i="1"/>
  <c r="R263" i="1"/>
  <c r="R265" i="1"/>
  <c r="R270" i="1"/>
  <c r="R272" i="1"/>
  <c r="R276" i="1"/>
  <c r="R278" i="1"/>
  <c r="R280" i="1"/>
  <c r="R282" i="1"/>
  <c r="R283" i="1"/>
  <c r="R284" i="1"/>
  <c r="R287" i="1"/>
  <c r="R288" i="1"/>
  <c r="R291" i="1"/>
  <c r="R292" i="1"/>
  <c r="R294" i="1"/>
  <c r="R296" i="1"/>
  <c r="R297" i="1"/>
  <c r="R302" i="1"/>
  <c r="R303" i="1"/>
  <c r="R305" i="1"/>
  <c r="R306" i="1"/>
  <c r="R307" i="1"/>
  <c r="R310" i="1"/>
  <c r="R315" i="1"/>
  <c r="R316" i="1"/>
  <c r="R319" i="1"/>
  <c r="R320" i="1"/>
  <c r="R321" i="1"/>
  <c r="R322" i="1"/>
  <c r="R324" i="1"/>
  <c r="R325" i="1"/>
  <c r="R328" i="1"/>
  <c r="R329" i="1"/>
  <c r="R330" i="1"/>
  <c r="R336" i="1"/>
  <c r="R337" i="1"/>
  <c r="R338" i="1"/>
  <c r="R341" i="1"/>
  <c r="R343" i="1"/>
  <c r="R344" i="1"/>
  <c r="R347" i="1"/>
  <c r="R349" i="1"/>
  <c r="R350" i="1"/>
  <c r="R353" i="1"/>
  <c r="R354" i="1"/>
  <c r="R355" i="1"/>
  <c r="R356" i="1"/>
  <c r="R357" i="1"/>
  <c r="R358" i="1"/>
  <c r="R360" i="1"/>
  <c r="R363" i="1"/>
  <c r="R367" i="1"/>
  <c r="R368" i="1"/>
  <c r="R369" i="1"/>
  <c r="R371" i="1"/>
  <c r="R372" i="1"/>
  <c r="R375" i="1"/>
  <c r="R382" i="1"/>
  <c r="R386" i="1"/>
  <c r="R390" i="1"/>
  <c r="R391" i="1"/>
  <c r="R395" i="1"/>
  <c r="R398" i="1"/>
  <c r="R399" i="1"/>
  <c r="R400" i="1"/>
  <c r="R401" i="1"/>
  <c r="R404" i="1"/>
  <c r="R406" i="1"/>
  <c r="R407" i="1"/>
  <c r="R408" i="1"/>
  <c r="R409" i="1"/>
  <c r="R412" i="1"/>
  <c r="R416" i="1"/>
  <c r="R417" i="1"/>
  <c r="R419" i="1"/>
  <c r="R420" i="1"/>
  <c r="R421" i="1"/>
  <c r="R423" i="1"/>
  <c r="R426" i="1"/>
  <c r="R427" i="1"/>
  <c r="R430" i="1"/>
  <c r="R432" i="1"/>
  <c r="R433" i="1"/>
  <c r="R434" i="1"/>
  <c r="R436" i="1"/>
  <c r="R438" i="1"/>
  <c r="R439" i="1"/>
  <c r="R441" i="1"/>
  <c r="R443" i="1"/>
  <c r="R446" i="1"/>
  <c r="R447" i="1"/>
  <c r="R450" i="1"/>
  <c r="R451" i="1"/>
  <c r="R453" i="1"/>
  <c r="R456" i="1"/>
  <c r="R457" i="1"/>
  <c r="R458" i="1"/>
  <c r="R460" i="1"/>
  <c r="R462" i="1"/>
  <c r="R463" i="1"/>
  <c r="R464" i="1"/>
  <c r="R465" i="1"/>
  <c r="R467" i="1"/>
  <c r="R469" i="1"/>
  <c r="R472" i="1"/>
  <c r="R475" i="1"/>
  <c r="R477" i="1"/>
  <c r="R478" i="1"/>
  <c r="R480" i="1"/>
  <c r="R481" i="1"/>
  <c r="R484" i="1"/>
  <c r="R487" i="1"/>
  <c r="R488" i="1"/>
  <c r="R492" i="1"/>
  <c r="R493" i="1"/>
  <c r="R494" i="1"/>
  <c r="R496" i="1"/>
  <c r="R499" i="1"/>
  <c r="R501" i="1"/>
  <c r="R502" i="1"/>
  <c r="R505" i="1"/>
  <c r="R510" i="1"/>
  <c r="R511" i="1"/>
  <c r="R512" i="1"/>
  <c r="R513" i="1"/>
  <c r="R514" i="1"/>
  <c r="R518" i="1"/>
  <c r="R519" i="1"/>
  <c r="R520" i="1"/>
  <c r="R528" i="1"/>
  <c r="R532" i="1"/>
  <c r="R533" i="1"/>
  <c r="R534" i="1"/>
  <c r="R538" i="1"/>
  <c r="R542" i="1"/>
  <c r="R544" i="1"/>
  <c r="R545" i="1"/>
  <c r="R546" i="1"/>
  <c r="R548" i="1"/>
  <c r="R554" i="1"/>
  <c r="R557" i="1"/>
  <c r="R558" i="1"/>
  <c r="R559" i="1"/>
  <c r="R560" i="1"/>
  <c r="R563" i="1"/>
  <c r="R564" i="1"/>
  <c r="R566" i="1"/>
  <c r="R576" i="1"/>
  <c r="R579" i="1"/>
  <c r="R583" i="1"/>
  <c r="R586" i="1"/>
  <c r="R589" i="1"/>
  <c r="R590" i="1"/>
  <c r="R591" i="1"/>
  <c r="R593" i="1"/>
  <c r="R594" i="1"/>
  <c r="R596" i="1"/>
  <c r="R598" i="1"/>
  <c r="R600" i="1"/>
  <c r="R604" i="1"/>
  <c r="R605" i="1"/>
  <c r="R606" i="1"/>
  <c r="R607" i="1"/>
  <c r="R608" i="1"/>
  <c r="R609" i="1"/>
  <c r="R610" i="1"/>
  <c r="R612" i="1"/>
  <c r="R618" i="1"/>
  <c r="R619" i="1"/>
  <c r="R621" i="1"/>
  <c r="R622" i="1"/>
  <c r="R623" i="1"/>
  <c r="R627" i="1"/>
  <c r="R630" i="1"/>
  <c r="R631" i="1"/>
  <c r="R634" i="1"/>
  <c r="R635" i="1"/>
  <c r="R638" i="1"/>
  <c r="R639" i="1"/>
  <c r="R643" i="1"/>
  <c r="R644" i="1"/>
  <c r="R646" i="1"/>
  <c r="R649" i="1"/>
  <c r="R650" i="1"/>
  <c r="R651" i="1"/>
  <c r="R652" i="1"/>
  <c r="R653" i="1"/>
  <c r="R654" i="1"/>
  <c r="R655" i="1"/>
  <c r="R657" i="1"/>
  <c r="R659" i="1"/>
  <c r="R661" i="1"/>
  <c r="R662" i="1"/>
  <c r="R663" i="1"/>
  <c r="R664" i="1"/>
  <c r="R666" i="1"/>
  <c r="R667" i="1"/>
  <c r="R670" i="1"/>
  <c r="R673" i="1"/>
  <c r="R674" i="1"/>
  <c r="R675" i="1"/>
  <c r="R678" i="1"/>
  <c r="R680" i="1"/>
  <c r="R681" i="1"/>
  <c r="R682" i="1"/>
  <c r="R686" i="1"/>
  <c r="R692" i="1"/>
  <c r="R693" i="1"/>
  <c r="R696" i="1"/>
  <c r="R697" i="1"/>
  <c r="R700" i="1"/>
  <c r="R702"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3" i="1"/>
  <c r="K4" i="1"/>
  <c r="K5" i="1"/>
  <c r="M5" i="1" s="1"/>
  <c r="K6" i="1"/>
  <c r="K7" i="1"/>
  <c r="M7" i="1" s="1"/>
  <c r="N7" i="1" s="1"/>
  <c r="K8" i="1"/>
  <c r="K9" i="1"/>
  <c r="K10" i="1"/>
  <c r="M10" i="1" s="1"/>
  <c r="K11" i="1"/>
  <c r="K12" i="1"/>
  <c r="K13" i="1"/>
  <c r="M13" i="1" s="1"/>
  <c r="K14" i="1"/>
  <c r="K15" i="1"/>
  <c r="M15" i="1" s="1"/>
  <c r="K16" i="1"/>
  <c r="K17" i="1"/>
  <c r="K18" i="1"/>
  <c r="K19" i="1"/>
  <c r="M19" i="1" s="1"/>
  <c r="K20" i="1"/>
  <c r="K21" i="1"/>
  <c r="M21" i="1" s="1"/>
  <c r="K22" i="1"/>
  <c r="K23" i="1"/>
  <c r="M23" i="1" s="1"/>
  <c r="K24" i="1"/>
  <c r="K25" i="1"/>
  <c r="M25" i="1" s="1"/>
  <c r="K26" i="1"/>
  <c r="K27" i="1"/>
  <c r="M27" i="1" s="1"/>
  <c r="K28" i="1"/>
  <c r="K29" i="1"/>
  <c r="M29" i="1" s="1"/>
  <c r="K30" i="1"/>
  <c r="K31" i="1"/>
  <c r="M31" i="1" s="1"/>
  <c r="N31" i="1" s="1"/>
  <c r="K32" i="1"/>
  <c r="K33" i="1"/>
  <c r="M33" i="1" s="1"/>
  <c r="K34" i="1"/>
  <c r="M34" i="1" s="1"/>
  <c r="K35" i="1"/>
  <c r="M35" i="1" s="1"/>
  <c r="K36" i="1"/>
  <c r="K37" i="1"/>
  <c r="K38" i="1"/>
  <c r="M38" i="1" s="1"/>
  <c r="K39" i="1"/>
  <c r="K40" i="1"/>
  <c r="K41" i="1"/>
  <c r="M41" i="1" s="1"/>
  <c r="K42" i="1"/>
  <c r="M42" i="1" s="1"/>
  <c r="K43" i="1"/>
  <c r="M43" i="1" s="1"/>
  <c r="K44" i="1"/>
  <c r="K45" i="1"/>
  <c r="K46" i="1"/>
  <c r="K47" i="1"/>
  <c r="M47" i="1" s="1"/>
  <c r="K48" i="1"/>
  <c r="K49" i="1"/>
  <c r="M49" i="1" s="1"/>
  <c r="K50" i="1"/>
  <c r="M50" i="1" s="1"/>
  <c r="K51" i="1"/>
  <c r="M51" i="1" s="1"/>
  <c r="N51" i="1" s="1"/>
  <c r="K52" i="1"/>
  <c r="K53" i="1"/>
  <c r="M53" i="1" s="1"/>
  <c r="K54" i="1"/>
  <c r="K55" i="1"/>
  <c r="M55" i="1" s="1"/>
  <c r="K56" i="1"/>
  <c r="K57" i="1"/>
  <c r="M57" i="1" s="1"/>
  <c r="K58" i="1"/>
  <c r="K59" i="1"/>
  <c r="M59" i="1" s="1"/>
  <c r="K60" i="1"/>
  <c r="K61" i="1"/>
  <c r="M61" i="1" s="1"/>
  <c r="N61" i="1" s="1"/>
  <c r="K62" i="1"/>
  <c r="K63" i="1"/>
  <c r="M63" i="1" s="1"/>
  <c r="K64" i="1"/>
  <c r="K65" i="1"/>
  <c r="M65" i="1" s="1"/>
  <c r="K66" i="1"/>
  <c r="M66" i="1" s="1"/>
  <c r="K67" i="1"/>
  <c r="K68" i="1"/>
  <c r="K69" i="1"/>
  <c r="M69" i="1" s="1"/>
  <c r="K70" i="1"/>
  <c r="M70" i="1" s="1"/>
  <c r="K71" i="1"/>
  <c r="K72" i="1"/>
  <c r="K73" i="1"/>
  <c r="M73" i="1" s="1"/>
  <c r="K74" i="1"/>
  <c r="K75" i="1"/>
  <c r="M75" i="1" s="1"/>
  <c r="K76" i="1"/>
  <c r="K77" i="1"/>
  <c r="M77" i="1" s="1"/>
  <c r="K78" i="1"/>
  <c r="K79" i="1"/>
  <c r="M79" i="1" s="1"/>
  <c r="K80" i="1"/>
  <c r="K81" i="1"/>
  <c r="M81" i="1" s="1"/>
  <c r="K82" i="1"/>
  <c r="K83" i="1"/>
  <c r="M83" i="1" s="1"/>
  <c r="K84" i="1"/>
  <c r="K85" i="1"/>
  <c r="M85" i="1" s="1"/>
  <c r="K86" i="1"/>
  <c r="M86" i="1" s="1"/>
  <c r="K87" i="1"/>
  <c r="M87" i="1" s="1"/>
  <c r="K88" i="1"/>
  <c r="K89" i="1"/>
  <c r="M89" i="1" s="1"/>
  <c r="K90" i="1"/>
  <c r="M90" i="1" s="1"/>
  <c r="K91" i="1"/>
  <c r="M91" i="1" s="1"/>
  <c r="K92" i="1"/>
  <c r="K93" i="1"/>
  <c r="M93" i="1" s="1"/>
  <c r="K94" i="1"/>
  <c r="M94" i="1" s="1"/>
  <c r="K95" i="1"/>
  <c r="M95" i="1" s="1"/>
  <c r="K96" i="1"/>
  <c r="K97" i="1"/>
  <c r="M97" i="1" s="1"/>
  <c r="K98" i="1"/>
  <c r="M98" i="1" s="1"/>
  <c r="K99" i="1"/>
  <c r="M99" i="1" s="1"/>
  <c r="K100" i="1"/>
  <c r="K101" i="1"/>
  <c r="M101" i="1" s="1"/>
  <c r="K102" i="1"/>
  <c r="K103" i="1"/>
  <c r="M103" i="1" s="1"/>
  <c r="K104" i="1"/>
  <c r="K105" i="1"/>
  <c r="M105" i="1" s="1"/>
  <c r="K106" i="1"/>
  <c r="M106" i="1" s="1"/>
  <c r="K107" i="1"/>
  <c r="K108" i="1"/>
  <c r="K109" i="1"/>
  <c r="M109" i="1" s="1"/>
  <c r="K110" i="1"/>
  <c r="M110" i="1" s="1"/>
  <c r="K111" i="1"/>
  <c r="M111" i="1" s="1"/>
  <c r="K112" i="1"/>
  <c r="K113" i="1"/>
  <c r="M113" i="1" s="1"/>
  <c r="K114" i="1"/>
  <c r="K115" i="1"/>
  <c r="M115" i="1" s="1"/>
  <c r="K116" i="1"/>
  <c r="K117" i="1"/>
  <c r="M117" i="1" s="1"/>
  <c r="N117" i="1" s="1"/>
  <c r="K118" i="1"/>
  <c r="K119" i="1"/>
  <c r="M119" i="1" s="1"/>
  <c r="K120" i="1"/>
  <c r="K121" i="1"/>
  <c r="M121" i="1" s="1"/>
  <c r="K122" i="1"/>
  <c r="M122" i="1" s="1"/>
  <c r="K123" i="1"/>
  <c r="M123" i="1" s="1"/>
  <c r="N123" i="1" s="1"/>
  <c r="K124" i="1"/>
  <c r="K125" i="1"/>
  <c r="M125" i="1" s="1"/>
  <c r="K126" i="1"/>
  <c r="K127" i="1"/>
  <c r="M127" i="1" s="1"/>
  <c r="K128" i="1"/>
  <c r="K129" i="1"/>
  <c r="M129" i="1" s="1"/>
  <c r="K130" i="1"/>
  <c r="K131" i="1"/>
  <c r="M131" i="1" s="1"/>
  <c r="K132" i="1"/>
  <c r="K133" i="1"/>
  <c r="M133" i="1" s="1"/>
  <c r="K134" i="1"/>
  <c r="M134" i="1" s="1"/>
  <c r="K135" i="1"/>
  <c r="M135" i="1" s="1"/>
  <c r="N135" i="1" s="1"/>
  <c r="K136" i="1"/>
  <c r="K137" i="1"/>
  <c r="M137" i="1" s="1"/>
  <c r="K138" i="1"/>
  <c r="K139" i="1"/>
  <c r="M139" i="1" s="1"/>
  <c r="K140" i="1"/>
  <c r="K141" i="1"/>
  <c r="M141" i="1" s="1"/>
  <c r="N141" i="1" s="1"/>
  <c r="K142" i="1"/>
  <c r="M142" i="1" s="1"/>
  <c r="K143" i="1"/>
  <c r="M143" i="1" s="1"/>
  <c r="K144" i="1"/>
  <c r="K145" i="1"/>
  <c r="M145" i="1" s="1"/>
  <c r="K146" i="1"/>
  <c r="M146" i="1" s="1"/>
  <c r="K147" i="1"/>
  <c r="M147" i="1" s="1"/>
  <c r="K148" i="1"/>
  <c r="K149" i="1"/>
  <c r="M149" i="1" s="1"/>
  <c r="K150" i="1"/>
  <c r="K151" i="1"/>
  <c r="M151" i="1" s="1"/>
  <c r="N151" i="1" s="1"/>
  <c r="K152" i="1"/>
  <c r="K153" i="1"/>
  <c r="M153" i="1" s="1"/>
  <c r="K154" i="1"/>
  <c r="M154" i="1" s="1"/>
  <c r="K155" i="1"/>
  <c r="M155" i="1" s="1"/>
  <c r="N155" i="1" s="1"/>
  <c r="K156" i="1"/>
  <c r="K157" i="1"/>
  <c r="M157" i="1" s="1"/>
  <c r="N157" i="1" s="1"/>
  <c r="K158" i="1"/>
  <c r="K159" i="1"/>
  <c r="M159" i="1" s="1"/>
  <c r="K160" i="1"/>
  <c r="K161" i="1"/>
  <c r="M161" i="1" s="1"/>
  <c r="K162" i="1"/>
  <c r="M162" i="1" s="1"/>
  <c r="K163" i="1"/>
  <c r="M163" i="1" s="1"/>
  <c r="K164" i="1"/>
  <c r="K165" i="1"/>
  <c r="M165" i="1" s="1"/>
  <c r="K166" i="1"/>
  <c r="M166" i="1" s="1"/>
  <c r="K167" i="1"/>
  <c r="M167" i="1" s="1"/>
  <c r="K168" i="1"/>
  <c r="K169" i="1"/>
  <c r="M169" i="1" s="1"/>
  <c r="K170" i="1"/>
  <c r="K171" i="1"/>
  <c r="M171" i="1" s="1"/>
  <c r="K172" i="1"/>
  <c r="K173" i="1"/>
  <c r="M173" i="1" s="1"/>
  <c r="K174" i="1"/>
  <c r="M174" i="1" s="1"/>
  <c r="K175" i="1"/>
  <c r="K176" i="1"/>
  <c r="K177" i="1"/>
  <c r="M177" i="1" s="1"/>
  <c r="K178" i="1"/>
  <c r="M178" i="1" s="1"/>
  <c r="K179" i="1"/>
  <c r="M179" i="1" s="1"/>
  <c r="K180" i="1"/>
  <c r="K181" i="1"/>
  <c r="M181" i="1" s="1"/>
  <c r="K182" i="1"/>
  <c r="K183" i="1"/>
  <c r="M183" i="1" s="1"/>
  <c r="K184" i="1"/>
  <c r="K185" i="1"/>
  <c r="K186" i="1"/>
  <c r="K187" i="1"/>
  <c r="M187" i="1" s="1"/>
  <c r="N187" i="1" s="1"/>
  <c r="K188" i="1"/>
  <c r="K189" i="1"/>
  <c r="M189" i="1" s="1"/>
  <c r="K190" i="1"/>
  <c r="K191" i="1"/>
  <c r="M191" i="1" s="1"/>
  <c r="K192" i="1"/>
  <c r="K193" i="1"/>
  <c r="K194" i="1"/>
  <c r="M194" i="1" s="1"/>
  <c r="K195" i="1"/>
  <c r="M195" i="1" s="1"/>
  <c r="N195" i="1" s="1"/>
  <c r="K196" i="1"/>
  <c r="K197" i="1"/>
  <c r="M197" i="1" s="1"/>
  <c r="K198" i="1"/>
  <c r="M198" i="1" s="1"/>
  <c r="K199" i="1"/>
  <c r="M199" i="1" s="1"/>
  <c r="K200" i="1"/>
  <c r="K201" i="1"/>
  <c r="M201" i="1" s="1"/>
  <c r="K202" i="1"/>
  <c r="K203" i="1"/>
  <c r="M203" i="1" s="1"/>
  <c r="K204" i="1"/>
  <c r="K205" i="1"/>
  <c r="M205" i="1" s="1"/>
  <c r="K206" i="1"/>
  <c r="M206" i="1" s="1"/>
  <c r="K207" i="1"/>
  <c r="M207" i="1" s="1"/>
  <c r="K208" i="1"/>
  <c r="K209" i="1"/>
  <c r="M209" i="1" s="1"/>
  <c r="K210" i="1"/>
  <c r="K211" i="1"/>
  <c r="M211" i="1" s="1"/>
  <c r="N211" i="1" s="1"/>
  <c r="K212" i="1"/>
  <c r="K213" i="1"/>
  <c r="M213" i="1" s="1"/>
  <c r="N213" i="1" s="1"/>
  <c r="K214" i="1"/>
  <c r="K215" i="1"/>
  <c r="K216" i="1"/>
  <c r="K217" i="1"/>
  <c r="M217" i="1" s="1"/>
  <c r="K218" i="1"/>
  <c r="M218" i="1" s="1"/>
  <c r="K219" i="1"/>
  <c r="M219" i="1" s="1"/>
  <c r="K220" i="1"/>
  <c r="K221" i="1"/>
  <c r="K222" i="1"/>
  <c r="M222" i="1" s="1"/>
  <c r="K223" i="1"/>
  <c r="M223" i="1" s="1"/>
  <c r="K224" i="1"/>
  <c r="K225" i="1"/>
  <c r="M225" i="1" s="1"/>
  <c r="K226" i="1"/>
  <c r="M226" i="1" s="1"/>
  <c r="K227" i="1"/>
  <c r="M227" i="1" s="1"/>
  <c r="N227" i="1" s="1"/>
  <c r="K228" i="1"/>
  <c r="K229" i="1"/>
  <c r="M229" i="1" s="1"/>
  <c r="K230" i="1"/>
  <c r="M230" i="1" s="1"/>
  <c r="K231" i="1"/>
  <c r="M231" i="1" s="1"/>
  <c r="K232" i="1"/>
  <c r="K233" i="1"/>
  <c r="M233" i="1" s="1"/>
  <c r="K234" i="1"/>
  <c r="K235" i="1"/>
  <c r="M235" i="1" s="1"/>
  <c r="K236" i="1"/>
  <c r="K237" i="1"/>
  <c r="M237" i="1" s="1"/>
  <c r="K238" i="1"/>
  <c r="K239" i="1"/>
  <c r="M239" i="1" s="1"/>
  <c r="K240" i="1"/>
  <c r="K241" i="1"/>
  <c r="M241" i="1" s="1"/>
  <c r="K242" i="1"/>
  <c r="M242" i="1" s="1"/>
  <c r="K243" i="1"/>
  <c r="M243" i="1" s="1"/>
  <c r="K244" i="1"/>
  <c r="K245" i="1"/>
  <c r="M245" i="1" s="1"/>
  <c r="K246" i="1"/>
  <c r="K247" i="1"/>
  <c r="M247" i="1" s="1"/>
  <c r="K248" i="1"/>
  <c r="K249" i="1"/>
  <c r="M249" i="1" s="1"/>
  <c r="K250" i="1"/>
  <c r="K251" i="1"/>
  <c r="M251" i="1" s="1"/>
  <c r="K252" i="1"/>
  <c r="K253" i="1"/>
  <c r="M253" i="1" s="1"/>
  <c r="K254" i="1"/>
  <c r="M254" i="1" s="1"/>
  <c r="K255" i="1"/>
  <c r="M255" i="1" s="1"/>
  <c r="K256" i="1"/>
  <c r="K257" i="1"/>
  <c r="M257" i="1" s="1"/>
  <c r="K258" i="1"/>
  <c r="M258" i="1" s="1"/>
  <c r="K259" i="1"/>
  <c r="K260" i="1"/>
  <c r="K261" i="1"/>
  <c r="M261" i="1" s="1"/>
  <c r="K262" i="1"/>
  <c r="K263" i="1"/>
  <c r="M263" i="1" s="1"/>
  <c r="K264" i="1"/>
  <c r="K265" i="1"/>
  <c r="M265" i="1" s="1"/>
  <c r="K266" i="1"/>
  <c r="K267" i="1"/>
  <c r="M267" i="1" s="1"/>
  <c r="K268" i="1"/>
  <c r="K269" i="1"/>
  <c r="M269" i="1" s="1"/>
  <c r="K270" i="1"/>
  <c r="M270" i="1" s="1"/>
  <c r="K271" i="1"/>
  <c r="M271" i="1" s="1"/>
  <c r="N271" i="1" s="1"/>
  <c r="K272" i="1"/>
  <c r="K273" i="1"/>
  <c r="M273" i="1" s="1"/>
  <c r="K274" i="1"/>
  <c r="M274" i="1" s="1"/>
  <c r="K275" i="1"/>
  <c r="M275" i="1" s="1"/>
  <c r="K276" i="1"/>
  <c r="K277" i="1"/>
  <c r="M277" i="1" s="1"/>
  <c r="K278" i="1"/>
  <c r="K279" i="1"/>
  <c r="M279" i="1" s="1"/>
  <c r="K280" i="1"/>
  <c r="K281" i="1"/>
  <c r="M281" i="1" s="1"/>
  <c r="K282" i="1"/>
  <c r="K283" i="1"/>
  <c r="M283" i="1" s="1"/>
  <c r="K284" i="1"/>
  <c r="K285" i="1"/>
  <c r="M285" i="1" s="1"/>
  <c r="K286" i="1"/>
  <c r="K287" i="1"/>
  <c r="K288" i="1"/>
  <c r="K289" i="1"/>
  <c r="M289" i="1" s="1"/>
  <c r="K290" i="1"/>
  <c r="M290" i="1" s="1"/>
  <c r="K291" i="1"/>
  <c r="M291" i="1" s="1"/>
  <c r="K292" i="1"/>
  <c r="K293" i="1"/>
  <c r="M293" i="1" s="1"/>
  <c r="K294" i="1"/>
  <c r="M294" i="1" s="1"/>
  <c r="K295" i="1"/>
  <c r="M295" i="1" s="1"/>
  <c r="K296" i="1"/>
  <c r="K297" i="1"/>
  <c r="M297" i="1" s="1"/>
  <c r="K298" i="1"/>
  <c r="M298" i="1" s="1"/>
  <c r="K299" i="1"/>
  <c r="M299" i="1" s="1"/>
  <c r="K300" i="1"/>
  <c r="K301" i="1"/>
  <c r="M301" i="1" s="1"/>
  <c r="K302" i="1"/>
  <c r="M302" i="1" s="1"/>
  <c r="K303" i="1"/>
  <c r="M303" i="1" s="1"/>
  <c r="K304" i="1"/>
  <c r="K305" i="1"/>
  <c r="M305" i="1" s="1"/>
  <c r="K306" i="1"/>
  <c r="K307" i="1"/>
  <c r="M307" i="1" s="1"/>
  <c r="K308" i="1"/>
  <c r="K309" i="1"/>
  <c r="M309" i="1" s="1"/>
  <c r="K310" i="1"/>
  <c r="M310" i="1" s="1"/>
  <c r="K311" i="1"/>
  <c r="M311" i="1" s="1"/>
  <c r="K312" i="1"/>
  <c r="K313" i="1"/>
  <c r="M313" i="1" s="1"/>
  <c r="K314" i="1"/>
  <c r="K315" i="1"/>
  <c r="M315" i="1" s="1"/>
  <c r="K316" i="1"/>
  <c r="K317" i="1"/>
  <c r="M317" i="1" s="1"/>
  <c r="K318" i="1"/>
  <c r="M318" i="1" s="1"/>
  <c r="K319" i="1"/>
  <c r="M319" i="1" s="1"/>
  <c r="K320" i="1"/>
  <c r="K321" i="1"/>
  <c r="M321" i="1" s="1"/>
  <c r="K322" i="1"/>
  <c r="K323" i="1"/>
  <c r="M323" i="1" s="1"/>
  <c r="N323" i="1" s="1"/>
  <c r="K324" i="1"/>
  <c r="K325" i="1"/>
  <c r="M325" i="1" s="1"/>
  <c r="K326" i="1"/>
  <c r="M326" i="1" s="1"/>
  <c r="K327" i="1"/>
  <c r="M327" i="1" s="1"/>
  <c r="K328" i="1"/>
  <c r="K329" i="1"/>
  <c r="M329" i="1" s="1"/>
  <c r="K330" i="1"/>
  <c r="K331" i="1"/>
  <c r="M331" i="1" s="1"/>
  <c r="K332" i="1"/>
  <c r="K333" i="1"/>
  <c r="M333" i="1" s="1"/>
  <c r="K334" i="1"/>
  <c r="M334" i="1" s="1"/>
  <c r="K335" i="1"/>
  <c r="M335" i="1" s="1"/>
  <c r="N335" i="1" s="1"/>
  <c r="K336" i="1"/>
  <c r="K337" i="1"/>
  <c r="M337" i="1" s="1"/>
  <c r="K338" i="1"/>
  <c r="K339" i="1"/>
  <c r="M339" i="1" s="1"/>
  <c r="N339" i="1" s="1"/>
  <c r="K340" i="1"/>
  <c r="K341" i="1"/>
  <c r="M341" i="1" s="1"/>
  <c r="K342" i="1"/>
  <c r="M342" i="1" s="1"/>
  <c r="K343" i="1"/>
  <c r="M343" i="1" s="1"/>
  <c r="K344" i="1"/>
  <c r="K345" i="1"/>
  <c r="M345" i="1" s="1"/>
  <c r="K346" i="1"/>
  <c r="M346" i="1" s="1"/>
  <c r="K347" i="1"/>
  <c r="M347" i="1" s="1"/>
  <c r="N347" i="1" s="1"/>
  <c r="K348" i="1"/>
  <c r="K349" i="1"/>
  <c r="M349" i="1" s="1"/>
  <c r="K350" i="1"/>
  <c r="K351" i="1"/>
  <c r="M351" i="1" s="1"/>
  <c r="K352" i="1"/>
  <c r="K353" i="1"/>
  <c r="K354" i="1"/>
  <c r="M354" i="1" s="1"/>
  <c r="K355" i="1"/>
  <c r="M355" i="1" s="1"/>
  <c r="K356" i="1"/>
  <c r="K357" i="1"/>
  <c r="M357" i="1" s="1"/>
  <c r="K358" i="1"/>
  <c r="M358" i="1" s="1"/>
  <c r="K359" i="1"/>
  <c r="M359" i="1" s="1"/>
  <c r="K360" i="1"/>
  <c r="K361" i="1"/>
  <c r="M361" i="1" s="1"/>
  <c r="K362" i="1"/>
  <c r="M362" i="1" s="1"/>
  <c r="K363" i="1"/>
  <c r="M363" i="1" s="1"/>
  <c r="K364" i="1"/>
  <c r="K365" i="1"/>
  <c r="M365" i="1" s="1"/>
  <c r="K366" i="1"/>
  <c r="M366" i="1" s="1"/>
  <c r="K367" i="1"/>
  <c r="M367" i="1" s="1"/>
  <c r="K368" i="1"/>
  <c r="K369" i="1"/>
  <c r="M369" i="1" s="1"/>
  <c r="K370" i="1"/>
  <c r="K371" i="1"/>
  <c r="M371" i="1" s="1"/>
  <c r="K372" i="1"/>
  <c r="K373" i="1"/>
  <c r="M373" i="1" s="1"/>
  <c r="K374" i="1"/>
  <c r="K375" i="1"/>
  <c r="M375" i="1" s="1"/>
  <c r="K376" i="1"/>
  <c r="K377" i="1"/>
  <c r="M377" i="1" s="1"/>
  <c r="K378" i="1"/>
  <c r="K379" i="1"/>
  <c r="M379" i="1" s="1"/>
  <c r="K380" i="1"/>
  <c r="K381" i="1"/>
  <c r="M381" i="1" s="1"/>
  <c r="K382" i="1"/>
  <c r="M382" i="1" s="1"/>
  <c r="K383" i="1"/>
  <c r="M383" i="1" s="1"/>
  <c r="K384" i="1"/>
  <c r="K385" i="1"/>
  <c r="K386" i="1"/>
  <c r="K387" i="1"/>
  <c r="M387" i="1" s="1"/>
  <c r="K388" i="1"/>
  <c r="K389" i="1"/>
  <c r="M389" i="1" s="1"/>
  <c r="K390" i="1"/>
  <c r="K391" i="1"/>
  <c r="M391" i="1" s="1"/>
  <c r="K392" i="1"/>
  <c r="K393" i="1"/>
  <c r="M393" i="1" s="1"/>
  <c r="N393" i="1" s="1"/>
  <c r="K394" i="1"/>
  <c r="M394" i="1" s="1"/>
  <c r="K395" i="1"/>
  <c r="M395" i="1" s="1"/>
  <c r="K396" i="1"/>
  <c r="K397" i="1"/>
  <c r="M397" i="1" s="1"/>
  <c r="K398" i="1"/>
  <c r="M398" i="1" s="1"/>
  <c r="K399" i="1"/>
  <c r="M399" i="1" s="1"/>
  <c r="N399" i="1" s="1"/>
  <c r="K400" i="1"/>
  <c r="K401" i="1"/>
  <c r="M401" i="1" s="1"/>
  <c r="Q401" i="1" s="1"/>
  <c r="K402" i="1"/>
  <c r="K403" i="1"/>
  <c r="M403" i="1" s="1"/>
  <c r="K404" i="1"/>
  <c r="K405" i="1"/>
  <c r="M405" i="1" s="1"/>
  <c r="K406" i="1"/>
  <c r="K407" i="1"/>
  <c r="M407" i="1" s="1"/>
  <c r="K408" i="1"/>
  <c r="K409" i="1"/>
  <c r="K410" i="1"/>
  <c r="K411" i="1"/>
  <c r="M411" i="1" s="1"/>
  <c r="K412" i="1"/>
  <c r="K413" i="1"/>
  <c r="M413" i="1" s="1"/>
  <c r="K414" i="1"/>
  <c r="M414" i="1" s="1"/>
  <c r="K415" i="1"/>
  <c r="M415" i="1" s="1"/>
  <c r="K416" i="1"/>
  <c r="K417" i="1"/>
  <c r="M417" i="1" s="1"/>
  <c r="Q417" i="1" s="1"/>
  <c r="K418" i="1"/>
  <c r="K419" i="1"/>
  <c r="M419" i="1" s="1"/>
  <c r="N419" i="1" s="1"/>
  <c r="K420" i="1"/>
  <c r="K421" i="1"/>
  <c r="M421" i="1" s="1"/>
  <c r="K422" i="1"/>
  <c r="K423" i="1"/>
  <c r="M423" i="1" s="1"/>
  <c r="K424" i="1"/>
  <c r="K425" i="1"/>
  <c r="M425" i="1" s="1"/>
  <c r="N425" i="1" s="1"/>
  <c r="K426" i="1"/>
  <c r="M426" i="1" s="1"/>
  <c r="K427" i="1"/>
  <c r="M427" i="1" s="1"/>
  <c r="K428" i="1"/>
  <c r="K429" i="1"/>
  <c r="M429" i="1" s="1"/>
  <c r="K430" i="1"/>
  <c r="M430" i="1" s="1"/>
  <c r="K431" i="1"/>
  <c r="M431" i="1" s="1"/>
  <c r="K432" i="1"/>
  <c r="K433" i="1"/>
  <c r="M433" i="1" s="1"/>
  <c r="Q433" i="1" s="1"/>
  <c r="K434" i="1"/>
  <c r="K435" i="1"/>
  <c r="M435" i="1" s="1"/>
  <c r="K436" i="1"/>
  <c r="K437" i="1"/>
  <c r="M437" i="1" s="1"/>
  <c r="K438" i="1"/>
  <c r="K439" i="1"/>
  <c r="M439" i="1" s="1"/>
  <c r="K440" i="1"/>
  <c r="K441" i="1"/>
  <c r="M441" i="1" s="1"/>
  <c r="Q441" i="1" s="1"/>
  <c r="K442" i="1"/>
  <c r="M442" i="1" s="1"/>
  <c r="K443" i="1"/>
  <c r="M443" i="1" s="1"/>
  <c r="K444" i="1"/>
  <c r="K445" i="1"/>
  <c r="M445" i="1" s="1"/>
  <c r="K446" i="1"/>
  <c r="M446" i="1" s="1"/>
  <c r="K447" i="1"/>
  <c r="M447" i="1" s="1"/>
  <c r="K448" i="1"/>
  <c r="K449" i="1"/>
  <c r="M449" i="1" s="1"/>
  <c r="N449" i="1" s="1"/>
  <c r="K450" i="1"/>
  <c r="K451" i="1"/>
  <c r="M451" i="1" s="1"/>
  <c r="K452" i="1"/>
  <c r="K453" i="1"/>
  <c r="M453" i="1" s="1"/>
  <c r="N453" i="1" s="1"/>
  <c r="K454" i="1"/>
  <c r="K455" i="1"/>
  <c r="M455" i="1" s="1"/>
  <c r="N455" i="1" s="1"/>
  <c r="K456" i="1"/>
  <c r="K457" i="1"/>
  <c r="M457" i="1" s="1"/>
  <c r="Q457" i="1" s="1"/>
  <c r="K458" i="1"/>
  <c r="K459" i="1"/>
  <c r="M459" i="1" s="1"/>
  <c r="N459" i="1" s="1"/>
  <c r="K460" i="1"/>
  <c r="K461" i="1"/>
  <c r="K462" i="1"/>
  <c r="K463" i="1"/>
  <c r="M463" i="1" s="1"/>
  <c r="K464" i="1"/>
  <c r="K465" i="1"/>
  <c r="M465" i="1" s="1"/>
  <c r="Q465" i="1" s="1"/>
  <c r="K466" i="1"/>
  <c r="K467" i="1"/>
  <c r="M467" i="1" s="1"/>
  <c r="K468" i="1"/>
  <c r="K469" i="1"/>
  <c r="M469" i="1" s="1"/>
  <c r="K470" i="1"/>
  <c r="K471" i="1"/>
  <c r="M471" i="1" s="1"/>
  <c r="N471" i="1" s="1"/>
  <c r="K472" i="1"/>
  <c r="K473" i="1"/>
  <c r="M473" i="1" s="1"/>
  <c r="K474" i="1"/>
  <c r="M474" i="1" s="1"/>
  <c r="N474" i="1" s="1"/>
  <c r="K475" i="1"/>
  <c r="M475" i="1" s="1"/>
  <c r="K476" i="1"/>
  <c r="K477" i="1"/>
  <c r="M477" i="1" s="1"/>
  <c r="Q477" i="1" s="1"/>
  <c r="K478" i="1"/>
  <c r="M478" i="1" s="1"/>
  <c r="Q478" i="1" s="1"/>
  <c r="K479" i="1"/>
  <c r="M479" i="1" s="1"/>
  <c r="K480" i="1"/>
  <c r="K481" i="1"/>
  <c r="M481" i="1" s="1"/>
  <c r="K482" i="1"/>
  <c r="K483" i="1"/>
  <c r="M483" i="1" s="1"/>
  <c r="N483" i="1" s="1"/>
  <c r="K484" i="1"/>
  <c r="K485" i="1"/>
  <c r="M485" i="1" s="1"/>
  <c r="K486" i="1"/>
  <c r="K487" i="1"/>
  <c r="M487" i="1" s="1"/>
  <c r="K488" i="1"/>
  <c r="K489" i="1"/>
  <c r="M489" i="1" s="1"/>
  <c r="K490" i="1"/>
  <c r="M490" i="1" s="1"/>
  <c r="K491" i="1"/>
  <c r="M491" i="1" s="1"/>
  <c r="N491" i="1" s="1"/>
  <c r="K492" i="1"/>
  <c r="K493" i="1"/>
  <c r="M493" i="1" s="1"/>
  <c r="Q493" i="1" s="1"/>
  <c r="K494" i="1"/>
  <c r="M494" i="1" s="1"/>
  <c r="Q494" i="1" s="1"/>
  <c r="K495" i="1"/>
  <c r="M495" i="1" s="1"/>
  <c r="N495" i="1" s="1"/>
  <c r="K496" i="1"/>
  <c r="K497" i="1"/>
  <c r="M497" i="1" s="1"/>
  <c r="K498" i="1"/>
  <c r="K499" i="1"/>
  <c r="M499" i="1" s="1"/>
  <c r="K500" i="1"/>
  <c r="K501" i="1"/>
  <c r="M501" i="1" s="1"/>
  <c r="K502" i="1"/>
  <c r="K503" i="1"/>
  <c r="M503" i="1" s="1"/>
  <c r="K504" i="1"/>
  <c r="K505" i="1"/>
  <c r="M505" i="1" s="1"/>
  <c r="K506" i="1"/>
  <c r="K507" i="1"/>
  <c r="M507" i="1" s="1"/>
  <c r="K508" i="1"/>
  <c r="K509" i="1"/>
  <c r="M509" i="1" s="1"/>
  <c r="K510" i="1"/>
  <c r="M510" i="1" s="1"/>
  <c r="Q510" i="1" s="1"/>
  <c r="K511" i="1"/>
  <c r="M511" i="1" s="1"/>
  <c r="Q511" i="1" s="1"/>
  <c r="K512" i="1"/>
  <c r="K513" i="1"/>
  <c r="K514" i="1"/>
  <c r="K515" i="1"/>
  <c r="M515" i="1" s="1"/>
  <c r="K516" i="1"/>
  <c r="K517" i="1"/>
  <c r="M517" i="1" s="1"/>
  <c r="N517" i="1" s="1"/>
  <c r="K518" i="1"/>
  <c r="K519" i="1"/>
  <c r="M519" i="1" s="1"/>
  <c r="Q519" i="1" s="1"/>
  <c r="K520" i="1"/>
  <c r="K521" i="1"/>
  <c r="M521" i="1" s="1"/>
  <c r="N521" i="1" s="1"/>
  <c r="K522" i="1"/>
  <c r="K523" i="1"/>
  <c r="M523" i="1" s="1"/>
  <c r="K524" i="1"/>
  <c r="K525" i="1"/>
  <c r="M525" i="1" s="1"/>
  <c r="K526" i="1"/>
  <c r="M526" i="1" s="1"/>
  <c r="K527" i="1"/>
  <c r="M527" i="1" s="1"/>
  <c r="K528" i="1"/>
  <c r="K529" i="1"/>
  <c r="M529" i="1" s="1"/>
  <c r="K530" i="1"/>
  <c r="K531" i="1"/>
  <c r="M531" i="1" s="1"/>
  <c r="K532" i="1"/>
  <c r="K533" i="1"/>
  <c r="M533" i="1" s="1"/>
  <c r="Q533" i="1" s="1"/>
  <c r="K534" i="1"/>
  <c r="K535" i="1"/>
  <c r="M535" i="1" s="1"/>
  <c r="K536" i="1"/>
  <c r="K537" i="1"/>
  <c r="M537" i="1" s="1"/>
  <c r="K538" i="1"/>
  <c r="M538" i="1" s="1"/>
  <c r="K539" i="1"/>
  <c r="M539" i="1" s="1"/>
  <c r="K540" i="1"/>
  <c r="K541" i="1"/>
  <c r="M541" i="1" s="1"/>
  <c r="K542" i="1"/>
  <c r="M542" i="1" s="1"/>
  <c r="K543" i="1"/>
  <c r="M543" i="1" s="1"/>
  <c r="K544" i="1"/>
  <c r="K545" i="1"/>
  <c r="M545" i="1" s="1"/>
  <c r="Q545" i="1" s="1"/>
  <c r="K546" i="1"/>
  <c r="K547" i="1"/>
  <c r="M547" i="1" s="1"/>
  <c r="K548" i="1"/>
  <c r="K549" i="1"/>
  <c r="M549" i="1" s="1"/>
  <c r="K550" i="1"/>
  <c r="K551" i="1"/>
  <c r="M551" i="1" s="1"/>
  <c r="K552" i="1"/>
  <c r="K553" i="1"/>
  <c r="M553" i="1" s="1"/>
  <c r="N553" i="1" s="1"/>
  <c r="K554" i="1"/>
  <c r="M554" i="1" s="1"/>
  <c r="Q554" i="1" s="1"/>
  <c r="K555" i="1"/>
  <c r="M555" i="1" s="1"/>
  <c r="N555" i="1" s="1"/>
  <c r="K556" i="1"/>
  <c r="K557" i="1"/>
  <c r="M557" i="1" s="1"/>
  <c r="Q557" i="1" s="1"/>
  <c r="K558" i="1"/>
  <c r="K559" i="1"/>
  <c r="M559" i="1" s="1"/>
  <c r="Q559" i="1" s="1"/>
  <c r="K560" i="1"/>
  <c r="K561" i="1"/>
  <c r="M561" i="1" s="1"/>
  <c r="K562" i="1"/>
  <c r="K563" i="1"/>
  <c r="M563" i="1" s="1"/>
  <c r="Q563" i="1" s="1"/>
  <c r="K564" i="1"/>
  <c r="K565" i="1"/>
  <c r="M565" i="1" s="1"/>
  <c r="K566" i="1"/>
  <c r="K567" i="1"/>
  <c r="M567" i="1" s="1"/>
  <c r="N567" i="1" s="1"/>
  <c r="K568" i="1"/>
  <c r="K569" i="1"/>
  <c r="M569" i="1" s="1"/>
  <c r="N569" i="1" s="1"/>
  <c r="K570" i="1"/>
  <c r="K571" i="1"/>
  <c r="M571" i="1" s="1"/>
  <c r="K572" i="1"/>
  <c r="K573" i="1"/>
  <c r="M573" i="1" s="1"/>
  <c r="K574" i="1"/>
  <c r="M574" i="1" s="1"/>
  <c r="K575" i="1"/>
  <c r="M575" i="1" s="1"/>
  <c r="K576" i="1"/>
  <c r="K577" i="1"/>
  <c r="M577" i="1" s="1"/>
  <c r="K578" i="1"/>
  <c r="K579" i="1"/>
  <c r="M579" i="1" s="1"/>
  <c r="Q579" i="1" s="1"/>
  <c r="K580" i="1"/>
  <c r="K581" i="1"/>
  <c r="M581" i="1" s="1"/>
  <c r="K582" i="1"/>
  <c r="K583" i="1"/>
  <c r="M583" i="1" s="1"/>
  <c r="N583" i="1" s="1"/>
  <c r="K584" i="1"/>
  <c r="K585" i="1"/>
  <c r="M585" i="1" s="1"/>
  <c r="N585" i="1" s="1"/>
  <c r="K586" i="1"/>
  <c r="M586" i="1" s="1"/>
  <c r="K587" i="1"/>
  <c r="M587" i="1" s="1"/>
  <c r="K588" i="1"/>
  <c r="K589" i="1"/>
  <c r="M589" i="1" s="1"/>
  <c r="K590" i="1"/>
  <c r="K591" i="1"/>
  <c r="M591" i="1" s="1"/>
  <c r="Q591" i="1" s="1"/>
  <c r="K592" i="1"/>
  <c r="K593" i="1"/>
  <c r="M593" i="1" s="1"/>
  <c r="Q593" i="1" s="1"/>
  <c r="K594" i="1"/>
  <c r="K595" i="1"/>
  <c r="M595" i="1" s="1"/>
  <c r="K596" i="1"/>
  <c r="K597" i="1"/>
  <c r="M597" i="1" s="1"/>
  <c r="N597" i="1" s="1"/>
  <c r="K598" i="1"/>
  <c r="K599" i="1"/>
  <c r="M599" i="1" s="1"/>
  <c r="K600" i="1"/>
  <c r="K601" i="1"/>
  <c r="M601" i="1" s="1"/>
  <c r="N601" i="1" s="1"/>
  <c r="K602" i="1"/>
  <c r="K603" i="1"/>
  <c r="M603" i="1" s="1"/>
  <c r="K604" i="1"/>
  <c r="K605" i="1"/>
  <c r="M605" i="1" s="1"/>
  <c r="Q605" i="1" s="1"/>
  <c r="K606" i="1"/>
  <c r="M606" i="1" s="1"/>
  <c r="Q606" i="1" s="1"/>
  <c r="K607" i="1"/>
  <c r="M607" i="1" s="1"/>
  <c r="Q607" i="1" s="1"/>
  <c r="K608" i="1"/>
  <c r="K609" i="1"/>
  <c r="M609" i="1" s="1"/>
  <c r="Q609" i="1" s="1"/>
  <c r="K610" i="1"/>
  <c r="K611" i="1"/>
  <c r="M611" i="1" s="1"/>
  <c r="K612" i="1"/>
  <c r="K613" i="1"/>
  <c r="M613" i="1" s="1"/>
  <c r="K614" i="1"/>
  <c r="K615" i="1"/>
  <c r="M615" i="1" s="1"/>
  <c r="K616" i="1"/>
  <c r="K617" i="1"/>
  <c r="M617" i="1" s="1"/>
  <c r="N617" i="1" s="1"/>
  <c r="K618" i="1"/>
  <c r="M618" i="1" s="1"/>
  <c r="K619" i="1"/>
  <c r="M619" i="1" s="1"/>
  <c r="Q619" i="1" s="1"/>
  <c r="K620" i="1"/>
  <c r="K621" i="1"/>
  <c r="M621" i="1" s="1"/>
  <c r="Q621" i="1" s="1"/>
  <c r="K622" i="1"/>
  <c r="M622" i="1" s="1"/>
  <c r="Q622" i="1" s="1"/>
  <c r="K623" i="1"/>
  <c r="M623" i="1" s="1"/>
  <c r="Q623" i="1" s="1"/>
  <c r="K624" i="1"/>
  <c r="K625" i="1"/>
  <c r="M625" i="1" s="1"/>
  <c r="K626" i="1"/>
  <c r="K627" i="1"/>
  <c r="M627" i="1" s="1"/>
  <c r="N627" i="1" s="1"/>
  <c r="K628" i="1"/>
  <c r="K629" i="1"/>
  <c r="M629" i="1" s="1"/>
  <c r="N629" i="1" s="1"/>
  <c r="K630" i="1"/>
  <c r="K631" i="1"/>
  <c r="M631" i="1" s="1"/>
  <c r="N631" i="1" s="1"/>
  <c r="K632" i="1"/>
  <c r="K633" i="1"/>
  <c r="K634" i="1"/>
  <c r="K635" i="1"/>
  <c r="M635" i="1" s="1"/>
  <c r="Q635" i="1" s="1"/>
  <c r="K636" i="1"/>
  <c r="K637" i="1"/>
  <c r="M637" i="1" s="1"/>
  <c r="K638" i="1"/>
  <c r="M638" i="1" s="1"/>
  <c r="Q638" i="1" s="1"/>
  <c r="K639" i="1"/>
  <c r="M639" i="1" s="1"/>
  <c r="Q639" i="1" s="1"/>
  <c r="K640" i="1"/>
  <c r="K641" i="1"/>
  <c r="K642" i="1"/>
  <c r="K643" i="1"/>
  <c r="M643" i="1" s="1"/>
  <c r="Q643" i="1" s="1"/>
  <c r="K644" i="1"/>
  <c r="K645" i="1"/>
  <c r="M645" i="1" s="1"/>
  <c r="N645" i="1" s="1"/>
  <c r="K646" i="1"/>
  <c r="K647" i="1"/>
  <c r="M647" i="1" s="1"/>
  <c r="K648" i="1"/>
  <c r="K649" i="1"/>
  <c r="M649" i="1" s="1"/>
  <c r="Q649" i="1" s="1"/>
  <c r="K650" i="1"/>
  <c r="K651" i="1"/>
  <c r="M651" i="1" s="1"/>
  <c r="N651" i="1" s="1"/>
  <c r="K652" i="1"/>
  <c r="K653" i="1"/>
  <c r="M653" i="1" s="1"/>
  <c r="Q653" i="1" s="1"/>
  <c r="K654" i="1"/>
  <c r="M654" i="1" s="1"/>
  <c r="K655" i="1"/>
  <c r="M655" i="1" s="1"/>
  <c r="Q655" i="1" s="1"/>
  <c r="K656" i="1"/>
  <c r="K657" i="1"/>
  <c r="M657" i="1" s="1"/>
  <c r="Q657" i="1" s="1"/>
  <c r="K658" i="1"/>
  <c r="K659" i="1"/>
  <c r="M659" i="1" s="1"/>
  <c r="Q659" i="1" s="1"/>
  <c r="K660" i="1"/>
  <c r="K661" i="1"/>
  <c r="M661" i="1" s="1"/>
  <c r="Q661" i="1" s="1"/>
  <c r="K662" i="1"/>
  <c r="K663" i="1"/>
  <c r="M663" i="1" s="1"/>
  <c r="Q663" i="1" s="1"/>
  <c r="K664" i="1"/>
  <c r="K665" i="1"/>
  <c r="M665" i="1" s="1"/>
  <c r="K666" i="1"/>
  <c r="M666" i="1" s="1"/>
  <c r="Q666" i="1" s="1"/>
  <c r="K667" i="1"/>
  <c r="M667" i="1" s="1"/>
  <c r="Q667" i="1" s="1"/>
  <c r="K668" i="1"/>
  <c r="K669" i="1"/>
  <c r="M669" i="1" s="1"/>
  <c r="K670" i="1"/>
  <c r="M670" i="1" s="1"/>
  <c r="Q670" i="1" s="1"/>
  <c r="K671" i="1"/>
  <c r="M671" i="1" s="1"/>
  <c r="K672" i="1"/>
  <c r="K673" i="1"/>
  <c r="M673" i="1" s="1"/>
  <c r="Q673" i="1" s="1"/>
  <c r="K674" i="1"/>
  <c r="K675" i="1"/>
  <c r="M675" i="1" s="1"/>
  <c r="N675" i="1" s="1"/>
  <c r="K676" i="1"/>
  <c r="K677" i="1"/>
  <c r="M677" i="1" s="1"/>
  <c r="N677" i="1" s="1"/>
  <c r="K678" i="1"/>
  <c r="K679" i="1"/>
  <c r="M679" i="1" s="1"/>
  <c r="Q679" i="1" s="1"/>
  <c r="K680" i="1"/>
  <c r="K681" i="1"/>
  <c r="M681" i="1" s="1"/>
  <c r="Q681" i="1" s="1"/>
  <c r="K682" i="1"/>
  <c r="K683" i="1"/>
  <c r="M683" i="1" s="1"/>
  <c r="N683" i="1" s="1"/>
  <c r="K684" i="1"/>
  <c r="K685" i="1"/>
  <c r="M685" i="1" s="1"/>
  <c r="K686" i="1"/>
  <c r="K687" i="1"/>
  <c r="M687" i="1" s="1"/>
  <c r="K688" i="1"/>
  <c r="K689" i="1"/>
  <c r="M689" i="1" s="1"/>
  <c r="K690" i="1"/>
  <c r="K691" i="1"/>
  <c r="M691" i="1" s="1"/>
  <c r="K692" i="1"/>
  <c r="K693" i="1"/>
  <c r="M693" i="1" s="1"/>
  <c r="Q693" i="1" s="1"/>
  <c r="K694" i="1"/>
  <c r="M694" i="1" s="1"/>
  <c r="K695" i="1"/>
  <c r="M695" i="1" s="1"/>
  <c r="K696" i="1"/>
  <c r="K697" i="1"/>
  <c r="M697" i="1" s="1"/>
  <c r="Q697" i="1" s="1"/>
  <c r="K698" i="1"/>
  <c r="M698" i="1" s="1"/>
  <c r="K699" i="1"/>
  <c r="M699" i="1" s="1"/>
  <c r="K700" i="1"/>
  <c r="K701" i="1"/>
  <c r="M701" i="1" s="1"/>
  <c r="K702" i="1"/>
  <c r="M702" i="1" s="1"/>
  <c r="Q702" i="1" s="1"/>
  <c r="K3" i="1"/>
  <c r="M3" i="1" s="1"/>
  <c r="M11" i="1"/>
  <c r="N11" i="1" s="1"/>
  <c r="M14" i="1"/>
  <c r="M26" i="1"/>
  <c r="M39" i="1"/>
  <c r="N39" i="1" s="1"/>
  <c r="M46" i="1"/>
  <c r="M58" i="1"/>
  <c r="M62" i="1"/>
  <c r="M71" i="1"/>
  <c r="N71" i="1" s="1"/>
  <c r="M78" i="1"/>
  <c r="M82" i="1"/>
  <c r="M102" i="1"/>
  <c r="M107" i="1"/>
  <c r="N107" i="1" s="1"/>
  <c r="M114" i="1"/>
  <c r="M126" i="1"/>
  <c r="M130" i="1"/>
  <c r="M150" i="1"/>
  <c r="M170" i="1"/>
  <c r="M186" i="1"/>
  <c r="M190" i="1"/>
  <c r="M210" i="1"/>
  <c r="M214" i="1"/>
  <c r="M215" i="1"/>
  <c r="M234" i="1"/>
  <c r="M238" i="1"/>
  <c r="M250" i="1"/>
  <c r="M262" i="1"/>
  <c r="M278" i="1"/>
  <c r="M282" i="1"/>
  <c r="M306" i="1"/>
  <c r="M314" i="1"/>
  <c r="M322" i="1"/>
  <c r="M338" i="1"/>
  <c r="M370" i="1"/>
  <c r="M378" i="1"/>
  <c r="M410" i="1"/>
  <c r="M458" i="1"/>
  <c r="M462" i="1"/>
  <c r="M506" i="1"/>
  <c r="M522" i="1"/>
  <c r="M558" i="1"/>
  <c r="M570" i="1"/>
  <c r="M590" i="1"/>
  <c r="M602" i="1"/>
  <c r="M634" i="1"/>
  <c r="M650" i="1"/>
  <c r="Q650" i="1" s="1"/>
  <c r="M682" i="1"/>
  <c r="Q682" i="1" s="1"/>
  <c r="M30" i="1"/>
  <c r="M54" i="1"/>
  <c r="M74" i="1"/>
  <c r="M118" i="1"/>
  <c r="M138" i="1"/>
  <c r="M158" i="1"/>
  <c r="M182" i="1"/>
  <c r="M202" i="1"/>
  <c r="M246" i="1"/>
  <c r="M266" i="1"/>
  <c r="M286" i="1"/>
  <c r="M330" i="1"/>
  <c r="M350" i="1"/>
  <c r="M374"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3" i="1"/>
  <c r="M4" i="1"/>
  <c r="N4" i="1" s="1"/>
  <c r="M6" i="1"/>
  <c r="M8" i="1"/>
  <c r="Q8" i="1" s="1"/>
  <c r="M9" i="1"/>
  <c r="M12" i="1"/>
  <c r="M16" i="1"/>
  <c r="M17" i="1"/>
  <c r="M18" i="1"/>
  <c r="M20" i="1"/>
  <c r="Q20" i="1" s="1"/>
  <c r="M22" i="1"/>
  <c r="M24" i="1"/>
  <c r="N24" i="1" s="1"/>
  <c r="M28" i="1"/>
  <c r="Q28" i="1" s="1"/>
  <c r="M32" i="1"/>
  <c r="N32" i="1" s="1"/>
  <c r="M36" i="1"/>
  <c r="M37" i="1"/>
  <c r="M40" i="1"/>
  <c r="Q40" i="1" s="1"/>
  <c r="M44" i="1"/>
  <c r="M45" i="1"/>
  <c r="M48" i="1"/>
  <c r="N48" i="1" s="1"/>
  <c r="M52" i="1"/>
  <c r="Q52" i="1" s="1"/>
  <c r="M56" i="1"/>
  <c r="N56" i="1" s="1"/>
  <c r="M60" i="1"/>
  <c r="M64" i="1"/>
  <c r="N64" i="1" s="1"/>
  <c r="M67" i="1"/>
  <c r="N67" i="1" s="1"/>
  <c r="M68" i="1"/>
  <c r="M72" i="1"/>
  <c r="N72" i="1" s="1"/>
  <c r="M76" i="1"/>
  <c r="M80" i="1"/>
  <c r="Q80" i="1" s="1"/>
  <c r="M84" i="1"/>
  <c r="M88" i="1"/>
  <c r="N88" i="1" s="1"/>
  <c r="M92" i="1"/>
  <c r="M96" i="1"/>
  <c r="M100" i="1"/>
  <c r="M104" i="1"/>
  <c r="Q104" i="1" s="1"/>
  <c r="M108" i="1"/>
  <c r="M112" i="1"/>
  <c r="Q112" i="1" s="1"/>
  <c r="M116" i="1"/>
  <c r="N116" i="1" s="1"/>
  <c r="M120" i="1"/>
  <c r="Q120" i="1" s="1"/>
  <c r="M124" i="1"/>
  <c r="M128" i="1"/>
  <c r="M132" i="1"/>
  <c r="M136" i="1"/>
  <c r="N136" i="1" s="1"/>
  <c r="M140" i="1"/>
  <c r="M144" i="1"/>
  <c r="Q144" i="1" s="1"/>
  <c r="M148" i="1"/>
  <c r="M152" i="1"/>
  <c r="Q152" i="1" s="1"/>
  <c r="M156" i="1"/>
  <c r="M160" i="1"/>
  <c r="M164" i="1"/>
  <c r="M168" i="1"/>
  <c r="Q168" i="1" s="1"/>
  <c r="M172" i="1"/>
  <c r="M175" i="1"/>
  <c r="N175" i="1" s="1"/>
  <c r="M176" i="1"/>
  <c r="M180" i="1"/>
  <c r="Q180" i="1" s="1"/>
  <c r="M184" i="1"/>
  <c r="N184" i="1" s="1"/>
  <c r="M185" i="1"/>
  <c r="M188" i="1"/>
  <c r="Q188" i="1" s="1"/>
  <c r="M192" i="1"/>
  <c r="Q192" i="1" s="1"/>
  <c r="M193" i="1"/>
  <c r="M196" i="1"/>
  <c r="Q196" i="1" s="1"/>
  <c r="M200" i="1"/>
  <c r="N200" i="1" s="1"/>
  <c r="M204" i="1"/>
  <c r="Q204" i="1" s="1"/>
  <c r="M208" i="1"/>
  <c r="Q208" i="1" s="1"/>
  <c r="M212" i="1"/>
  <c r="M216" i="1"/>
  <c r="Q216" i="1" s="1"/>
  <c r="M220" i="1"/>
  <c r="Q220" i="1" s="1"/>
  <c r="M221" i="1"/>
  <c r="M224" i="1"/>
  <c r="N224" i="1" s="1"/>
  <c r="M228" i="1"/>
  <c r="N228" i="1" s="1"/>
  <c r="M232" i="1"/>
  <c r="Q232" i="1" s="1"/>
  <c r="M236" i="1"/>
  <c r="M240" i="1"/>
  <c r="M244" i="1"/>
  <c r="M248" i="1"/>
  <c r="Q248" i="1" s="1"/>
  <c r="M252" i="1"/>
  <c r="M256" i="1"/>
  <c r="N256" i="1" s="1"/>
  <c r="M259" i="1"/>
  <c r="M260" i="1"/>
  <c r="M264" i="1"/>
  <c r="N264" i="1" s="1"/>
  <c r="M268" i="1"/>
  <c r="M272" i="1"/>
  <c r="N272" i="1" s="1"/>
  <c r="M276" i="1"/>
  <c r="Q276" i="1" s="1"/>
  <c r="M280" i="1"/>
  <c r="Q280" i="1" s="1"/>
  <c r="M284" i="1"/>
  <c r="Q284" i="1" s="1"/>
  <c r="M287" i="1"/>
  <c r="M288" i="1"/>
  <c r="Q288" i="1" s="1"/>
  <c r="M292" i="1"/>
  <c r="Q292" i="1" s="1"/>
  <c r="M296" i="1"/>
  <c r="Q296" i="1" s="1"/>
  <c r="M300" i="1"/>
  <c r="M304" i="1"/>
  <c r="N304" i="1" s="1"/>
  <c r="M308" i="1"/>
  <c r="N308" i="1" s="1"/>
  <c r="M312" i="1"/>
  <c r="M316" i="1"/>
  <c r="Q316" i="1" s="1"/>
  <c r="M320" i="1"/>
  <c r="Q320" i="1" s="1"/>
  <c r="M324" i="1"/>
  <c r="Q324" i="1" s="1"/>
  <c r="M328" i="1"/>
  <c r="Q328" i="1" s="1"/>
  <c r="M332" i="1"/>
  <c r="M336" i="1"/>
  <c r="Q336" i="1" s="1"/>
  <c r="M340" i="1"/>
  <c r="N340" i="1" s="1"/>
  <c r="M344" i="1"/>
  <c r="Q344" i="1" s="1"/>
  <c r="M348" i="1"/>
  <c r="M352" i="1"/>
  <c r="M353" i="1"/>
  <c r="M356" i="1"/>
  <c r="Q356" i="1" s="1"/>
  <c r="M360" i="1"/>
  <c r="Q360" i="1" s="1"/>
  <c r="M364" i="1"/>
  <c r="M368" i="1"/>
  <c r="Q368" i="1" s="1"/>
  <c r="M372" i="1"/>
  <c r="Q372" i="1" s="1"/>
  <c r="M376" i="1"/>
  <c r="N376" i="1" s="1"/>
  <c r="M380" i="1"/>
  <c r="M384" i="1"/>
  <c r="N384" i="1" s="1"/>
  <c r="M385" i="1"/>
  <c r="N385" i="1" s="1"/>
  <c r="M386" i="1"/>
  <c r="M388" i="1"/>
  <c r="M390" i="1"/>
  <c r="M392" i="1"/>
  <c r="M396" i="1"/>
  <c r="M400" i="1"/>
  <c r="Q400" i="1" s="1"/>
  <c r="M402" i="1"/>
  <c r="M404" i="1"/>
  <c r="Q404" i="1" s="1"/>
  <c r="M406" i="1"/>
  <c r="M408" i="1"/>
  <c r="Q408" i="1" s="1"/>
  <c r="M409" i="1"/>
  <c r="Q409" i="1" s="1"/>
  <c r="M412" i="1"/>
  <c r="Q412" i="1" s="1"/>
  <c r="M416" i="1"/>
  <c r="Q416" i="1" s="1"/>
  <c r="M418" i="1"/>
  <c r="M420" i="1"/>
  <c r="Q420" i="1" s="1"/>
  <c r="M422" i="1"/>
  <c r="M424" i="1"/>
  <c r="M428" i="1"/>
  <c r="M432" i="1"/>
  <c r="Q432" i="1" s="1"/>
  <c r="M434" i="1"/>
  <c r="M436" i="1"/>
  <c r="M438" i="1"/>
  <c r="M440" i="1"/>
  <c r="N440" i="1" s="1"/>
  <c r="M444" i="1"/>
  <c r="M448" i="1"/>
  <c r="N448" i="1" s="1"/>
  <c r="M450" i="1"/>
  <c r="M452" i="1"/>
  <c r="M454" i="1"/>
  <c r="M456" i="1"/>
  <c r="Q456" i="1" s="1"/>
  <c r="M460" i="1"/>
  <c r="Q460" i="1" s="1"/>
  <c r="M461" i="1"/>
  <c r="M464" i="1"/>
  <c r="Q464" i="1" s="1"/>
  <c r="M466" i="1"/>
  <c r="M468" i="1"/>
  <c r="M470" i="1"/>
  <c r="M472" i="1"/>
  <c r="Q472" i="1" s="1"/>
  <c r="M476" i="1"/>
  <c r="M480" i="1"/>
  <c r="M482" i="1"/>
  <c r="N482" i="1" s="1"/>
  <c r="M484" i="1"/>
  <c r="Q484" i="1" s="1"/>
  <c r="M486" i="1"/>
  <c r="M488" i="1"/>
  <c r="Q488" i="1" s="1"/>
  <c r="M492" i="1"/>
  <c r="Q492" i="1" s="1"/>
  <c r="M496" i="1"/>
  <c r="M498" i="1"/>
  <c r="N498" i="1" s="1"/>
  <c r="M500" i="1"/>
  <c r="M502" i="1"/>
  <c r="Q502" i="1" s="1"/>
  <c r="M504" i="1"/>
  <c r="M508" i="1"/>
  <c r="N508" i="1" s="1"/>
  <c r="M512" i="1"/>
  <c r="Q512" i="1" s="1"/>
  <c r="M513" i="1"/>
  <c r="Q513" i="1" s="1"/>
  <c r="M514" i="1"/>
  <c r="Q514" i="1" s="1"/>
  <c r="M516" i="1"/>
  <c r="N516" i="1" s="1"/>
  <c r="M518" i="1"/>
  <c r="Q518" i="1" s="1"/>
  <c r="M520" i="1"/>
  <c r="M524" i="1"/>
  <c r="N524" i="1" s="1"/>
  <c r="M528" i="1"/>
  <c r="Q528" i="1" s="1"/>
  <c r="M530" i="1"/>
  <c r="M532" i="1"/>
  <c r="Q532" i="1" s="1"/>
  <c r="M534" i="1"/>
  <c r="Q534" i="1" s="1"/>
  <c r="M536" i="1"/>
  <c r="M540" i="1"/>
  <c r="N540" i="1" s="1"/>
  <c r="M544" i="1"/>
  <c r="Q544" i="1" s="1"/>
  <c r="M546" i="1"/>
  <c r="M548" i="1"/>
  <c r="Q548" i="1" s="1"/>
  <c r="M550" i="1"/>
  <c r="M552" i="1"/>
  <c r="N552" i="1" s="1"/>
  <c r="M556" i="1"/>
  <c r="M560" i="1"/>
  <c r="Q560" i="1" s="1"/>
  <c r="M562" i="1"/>
  <c r="M564" i="1"/>
  <c r="M566" i="1"/>
  <c r="Q566" i="1" s="1"/>
  <c r="M568" i="1"/>
  <c r="N568" i="1" s="1"/>
  <c r="M572" i="1"/>
  <c r="M576" i="1"/>
  <c r="Q576" i="1" s="1"/>
  <c r="M578" i="1"/>
  <c r="M580" i="1"/>
  <c r="M582" i="1"/>
  <c r="M584" i="1"/>
  <c r="N584" i="1" s="1"/>
  <c r="M588" i="1"/>
  <c r="N588" i="1" s="1"/>
  <c r="M592" i="1"/>
  <c r="N592" i="1" s="1"/>
  <c r="M594" i="1"/>
  <c r="Q594" i="1" s="1"/>
  <c r="M596" i="1"/>
  <c r="N596" i="1" s="1"/>
  <c r="M598" i="1"/>
  <c r="M600" i="1"/>
  <c r="Q600" i="1" s="1"/>
  <c r="M604" i="1"/>
  <c r="N604" i="1" s="1"/>
  <c r="M608" i="1"/>
  <c r="M610" i="1"/>
  <c r="Q610" i="1" s="1"/>
  <c r="M612" i="1"/>
  <c r="Q612" i="1" s="1"/>
  <c r="M614" i="1"/>
  <c r="M616" i="1"/>
  <c r="N616" i="1" s="1"/>
  <c r="M620" i="1"/>
  <c r="N620" i="1" s="1"/>
  <c r="M624" i="1"/>
  <c r="M626" i="1"/>
  <c r="M628" i="1"/>
  <c r="N628" i="1" s="1"/>
  <c r="M630" i="1"/>
  <c r="Q630" i="1" s="1"/>
  <c r="M632" i="1"/>
  <c r="M633" i="1"/>
  <c r="M636" i="1"/>
  <c r="N636" i="1" s="1"/>
  <c r="M640" i="1"/>
  <c r="M641" i="1"/>
  <c r="M642" i="1"/>
  <c r="M644" i="1"/>
  <c r="Q644" i="1" s="1"/>
  <c r="M646" i="1"/>
  <c r="Q646" i="1" s="1"/>
  <c r="M648" i="1"/>
  <c r="M652" i="1"/>
  <c r="M656" i="1"/>
  <c r="M658" i="1"/>
  <c r="M660" i="1"/>
  <c r="M662" i="1"/>
  <c r="Q662" i="1" s="1"/>
  <c r="M664" i="1"/>
  <c r="Q664" i="1" s="1"/>
  <c r="M668" i="1"/>
  <c r="M672" i="1"/>
  <c r="N672" i="1" s="1"/>
  <c r="M674" i="1"/>
  <c r="M676" i="1"/>
  <c r="M678" i="1"/>
  <c r="Q678" i="1" s="1"/>
  <c r="M680" i="1"/>
  <c r="N680" i="1" s="1"/>
  <c r="M684" i="1"/>
  <c r="M686" i="1"/>
  <c r="M688" i="1"/>
  <c r="N688" i="1" s="1"/>
  <c r="M690" i="1"/>
  <c r="M692" i="1"/>
  <c r="N692" i="1" s="1"/>
  <c r="M696" i="1"/>
  <c r="M700" i="1"/>
  <c r="N700" i="1" s="1"/>
  <c r="S583" i="1" l="1"/>
  <c r="Q699" i="1"/>
  <c r="R699" i="1"/>
  <c r="S675" i="1"/>
  <c r="S651" i="1"/>
  <c r="S627" i="1"/>
  <c r="S596" i="1"/>
  <c r="S453" i="1"/>
  <c r="S195" i="1"/>
  <c r="S116" i="1"/>
  <c r="S347" i="1"/>
  <c r="S175" i="1"/>
  <c r="S141" i="1"/>
  <c r="S107" i="1"/>
  <c r="S67" i="1"/>
  <c r="S61" i="1"/>
  <c r="S39" i="1"/>
  <c r="S11" i="1"/>
  <c r="S604" i="1"/>
  <c r="S399" i="1"/>
  <c r="S272" i="1"/>
  <c r="S213" i="1"/>
  <c r="S187" i="1"/>
  <c r="S157" i="1"/>
  <c r="S692" i="1"/>
  <c r="S680" i="1"/>
  <c r="S631" i="1"/>
  <c r="S419" i="1"/>
  <c r="S227" i="1"/>
  <c r="S117" i="1"/>
  <c r="S71" i="1"/>
  <c r="S4" i="1"/>
  <c r="N296" i="1"/>
  <c r="S296" i="1" s="1"/>
  <c r="N216" i="1"/>
  <c r="S216" i="1" s="1"/>
  <c r="N152" i="1"/>
  <c r="S152" i="1" s="1"/>
  <c r="N697" i="1"/>
  <c r="S697" i="1" s="1"/>
  <c r="N472" i="1"/>
  <c r="S472" i="1" s="1"/>
  <c r="N280" i="1"/>
  <c r="S280" i="1" s="1"/>
  <c r="N8" i="1"/>
  <c r="S8" i="1" s="1"/>
  <c r="N681" i="1"/>
  <c r="S681" i="1" s="1"/>
  <c r="N457" i="1"/>
  <c r="S457" i="1" s="1"/>
  <c r="N360" i="1"/>
  <c r="S360" i="1" s="1"/>
  <c r="N120" i="1"/>
  <c r="S120" i="1" s="1"/>
  <c r="N649" i="1"/>
  <c r="S649" i="1" s="1"/>
  <c r="N488" i="1"/>
  <c r="S488" i="1" s="1"/>
  <c r="N328" i="1"/>
  <c r="S328" i="1" s="1"/>
  <c r="N248" i="1"/>
  <c r="S248" i="1" s="1"/>
  <c r="N168" i="1"/>
  <c r="S168" i="1" s="1"/>
  <c r="N104" i="1"/>
  <c r="S104" i="1" s="1"/>
  <c r="N40" i="1"/>
  <c r="S40" i="1" s="1"/>
  <c r="N665" i="1"/>
  <c r="Q589" i="1"/>
  <c r="N589" i="1"/>
  <c r="S589" i="1" s="1"/>
  <c r="N537" i="1"/>
  <c r="Q321" i="1"/>
  <c r="N321" i="1"/>
  <c r="S321" i="1" s="1"/>
  <c r="N289" i="1"/>
  <c r="N253" i="1"/>
  <c r="Q201" i="1"/>
  <c r="N201" i="1"/>
  <c r="S201" i="1" s="1"/>
  <c r="N177" i="1"/>
  <c r="N53" i="1"/>
  <c r="Q29" i="1"/>
  <c r="R29" i="1" s="1"/>
  <c r="S29" i="1" s="1"/>
  <c r="N29" i="1"/>
  <c r="Q633" i="1"/>
  <c r="R633" i="1" s="1"/>
  <c r="N614" i="1"/>
  <c r="Q164" i="1"/>
  <c r="N164" i="1"/>
  <c r="S164" i="1" s="1"/>
  <c r="Q132" i="1"/>
  <c r="N132" i="1"/>
  <c r="S132" i="1" s="1"/>
  <c r="N100" i="1"/>
  <c r="N68" i="1"/>
  <c r="Q37" i="1"/>
  <c r="N37" i="1"/>
  <c r="S37" i="1" s="1"/>
  <c r="N359" i="1"/>
  <c r="Q654" i="1"/>
  <c r="N654" i="1"/>
  <c r="S654" i="1" s="1"/>
  <c r="Q586" i="1"/>
  <c r="N586" i="1"/>
  <c r="S586" i="1" s="1"/>
  <c r="Q446" i="1"/>
  <c r="N446" i="1"/>
  <c r="S446" i="1" s="1"/>
  <c r="N394" i="1"/>
  <c r="Q258" i="1"/>
  <c r="R258" i="1" s="1"/>
  <c r="S258" i="1" s="1"/>
  <c r="N258" i="1"/>
  <c r="N230" i="1"/>
  <c r="N146" i="1"/>
  <c r="N633" i="1"/>
  <c r="Q520" i="1"/>
  <c r="N520" i="1"/>
  <c r="S520" i="1" s="1"/>
  <c r="N461" i="1"/>
  <c r="N193" i="1"/>
  <c r="N410" i="1"/>
  <c r="Q114" i="1"/>
  <c r="N114" i="1"/>
  <c r="S114" i="1" s="1"/>
  <c r="N429" i="1"/>
  <c r="Q421" i="1"/>
  <c r="N421" i="1"/>
  <c r="S421" i="1" s="1"/>
  <c r="N405" i="1"/>
  <c r="N397" i="1"/>
  <c r="N389" i="1"/>
  <c r="N365" i="1"/>
  <c r="Q349" i="1"/>
  <c r="N349" i="1"/>
  <c r="S349" i="1" s="1"/>
  <c r="N333" i="1"/>
  <c r="N317" i="1"/>
  <c r="N309" i="1"/>
  <c r="N293" i="1"/>
  <c r="N281" i="1"/>
  <c r="N269" i="1"/>
  <c r="N257" i="1"/>
  <c r="Q249" i="1"/>
  <c r="N249" i="1"/>
  <c r="S249" i="1" s="1"/>
  <c r="Q237" i="1"/>
  <c r="N237" i="1"/>
  <c r="S237" i="1" s="1"/>
  <c r="Q189" i="1"/>
  <c r="N189" i="1"/>
  <c r="S189" i="1" s="1"/>
  <c r="N169" i="1"/>
  <c r="Q165" i="1"/>
  <c r="N165" i="1"/>
  <c r="S165" i="1" s="1"/>
  <c r="Q153" i="1"/>
  <c r="N153" i="1"/>
  <c r="S153" i="1" s="1"/>
  <c r="Q145" i="1"/>
  <c r="N145" i="1"/>
  <c r="S145" i="1" s="1"/>
  <c r="N133" i="1"/>
  <c r="Q125" i="1"/>
  <c r="N125" i="1"/>
  <c r="S125" i="1" s="1"/>
  <c r="N109" i="1"/>
  <c r="N93" i="1"/>
  <c r="N77" i="1"/>
  <c r="N57" i="1"/>
  <c r="N25" i="1"/>
  <c r="N693" i="1"/>
  <c r="S693" i="1" s="1"/>
  <c r="N661" i="1"/>
  <c r="S661" i="1" s="1"/>
  <c r="N613" i="1"/>
  <c r="N581" i="1"/>
  <c r="N565" i="1"/>
  <c r="N549" i="1"/>
  <c r="N533" i="1"/>
  <c r="S533" i="1" s="1"/>
  <c r="N477" i="1"/>
  <c r="S477" i="1" s="1"/>
  <c r="N417" i="1"/>
  <c r="S417" i="1" s="1"/>
  <c r="N642" i="1"/>
  <c r="N626" i="1"/>
  <c r="Q496" i="1"/>
  <c r="N496" i="1"/>
  <c r="S496" i="1" s="1"/>
  <c r="Q221" i="1"/>
  <c r="R221" i="1" s="1"/>
  <c r="N221" i="1"/>
  <c r="Q185" i="1"/>
  <c r="N185" i="1"/>
  <c r="S185" i="1" s="1"/>
  <c r="Q148" i="1"/>
  <c r="R148" i="1" s="1"/>
  <c r="N148" i="1"/>
  <c r="N506" i="1"/>
  <c r="Q694" i="1"/>
  <c r="R694" i="1" s="1"/>
  <c r="S694" i="1" s="1"/>
  <c r="N694" i="1"/>
  <c r="Q618" i="1"/>
  <c r="N618" i="1"/>
  <c r="S618" i="1" s="1"/>
  <c r="Q542" i="1"/>
  <c r="N542" i="1"/>
  <c r="S542" i="1" s="1"/>
  <c r="Q490" i="1"/>
  <c r="R490" i="1" s="1"/>
  <c r="N490" i="1"/>
  <c r="Q426" i="1"/>
  <c r="N426" i="1"/>
  <c r="S426" i="1" s="1"/>
  <c r="Q310" i="1"/>
  <c r="N310" i="1"/>
  <c r="S310" i="1" s="1"/>
  <c r="Q198" i="1"/>
  <c r="N198" i="1"/>
  <c r="S198" i="1" s="1"/>
  <c r="N668" i="1"/>
  <c r="N660" i="1"/>
  <c r="Q641" i="1"/>
  <c r="R641" i="1" s="1"/>
  <c r="N624" i="1"/>
  <c r="N572" i="1"/>
  <c r="N470" i="1"/>
  <c r="N452" i="1"/>
  <c r="Q45" i="1"/>
  <c r="R45" i="1" s="1"/>
  <c r="N45" i="1"/>
  <c r="Q463" i="1"/>
  <c r="N463" i="1"/>
  <c r="S463" i="1" s="1"/>
  <c r="Q234" i="1"/>
  <c r="N234" i="1"/>
  <c r="S234" i="1" s="1"/>
  <c r="Q58" i="1"/>
  <c r="N58" i="1"/>
  <c r="S58" i="1" s="1"/>
  <c r="N14" i="1"/>
  <c r="Q701" i="1"/>
  <c r="R701" i="1" s="1"/>
  <c r="Q569" i="1"/>
  <c r="R569" i="1" s="1"/>
  <c r="S569" i="1" s="1"/>
  <c r="Q501" i="1"/>
  <c r="N501" i="1"/>
  <c r="S501" i="1" s="1"/>
  <c r="N489" i="1"/>
  <c r="N473" i="1"/>
  <c r="Q469" i="1"/>
  <c r="N469" i="1"/>
  <c r="S469" i="1" s="1"/>
  <c r="Q449" i="1"/>
  <c r="R449" i="1" s="1"/>
  <c r="S449" i="1" s="1"/>
  <c r="N381" i="1"/>
  <c r="Q377" i="1"/>
  <c r="R377" i="1" s="1"/>
  <c r="N377" i="1"/>
  <c r="Q369" i="1"/>
  <c r="N369" i="1"/>
  <c r="S369" i="1" s="1"/>
  <c r="Q357" i="1"/>
  <c r="N357" i="1"/>
  <c r="S357" i="1" s="1"/>
  <c r="N345" i="1"/>
  <c r="Q337" i="1"/>
  <c r="N337" i="1"/>
  <c r="S337" i="1" s="1"/>
  <c r="Q325" i="1"/>
  <c r="N325" i="1"/>
  <c r="S325" i="1" s="1"/>
  <c r="Q305" i="1"/>
  <c r="N305" i="1"/>
  <c r="S305" i="1" s="1"/>
  <c r="Q297" i="1"/>
  <c r="N297" i="1"/>
  <c r="S297" i="1" s="1"/>
  <c r="N273" i="1"/>
  <c r="Q261" i="1"/>
  <c r="N261" i="1"/>
  <c r="S261" i="1" s="1"/>
  <c r="Q245" i="1"/>
  <c r="N245" i="1"/>
  <c r="S245" i="1" s="1"/>
  <c r="Q233" i="1"/>
  <c r="N233" i="1"/>
  <c r="S233" i="1" s="1"/>
  <c r="N225" i="1"/>
  <c r="N217" i="1"/>
  <c r="N209" i="1"/>
  <c r="N197" i="1"/>
  <c r="Q149" i="1"/>
  <c r="N149" i="1"/>
  <c r="S149" i="1" s="1"/>
  <c r="Q137" i="1"/>
  <c r="N137" i="1"/>
  <c r="S137" i="1" s="1"/>
  <c r="Q129" i="1"/>
  <c r="N129" i="1"/>
  <c r="S129" i="1" s="1"/>
  <c r="N121" i="1"/>
  <c r="N113" i="1"/>
  <c r="N97" i="1"/>
  <c r="Q85" i="1"/>
  <c r="N85" i="1"/>
  <c r="S85" i="1" s="1"/>
  <c r="Q73" i="1"/>
  <c r="R73" i="1" s="1"/>
  <c r="N73" i="1"/>
  <c r="Q65" i="1"/>
  <c r="R65" i="1" s="1"/>
  <c r="S65" i="1" s="1"/>
  <c r="N65" i="1"/>
  <c r="N41" i="1"/>
  <c r="N5" i="1"/>
  <c r="Q696" i="1"/>
  <c r="N696" i="1"/>
  <c r="S696" i="1" s="1"/>
  <c r="N676" i="1"/>
  <c r="N530" i="1"/>
  <c r="N428" i="1"/>
  <c r="N364" i="1"/>
  <c r="N244" i="1"/>
  <c r="Q156" i="1"/>
  <c r="N156" i="1"/>
  <c r="S156" i="1" s="1"/>
  <c r="Q140" i="1"/>
  <c r="N140" i="1"/>
  <c r="S140" i="1" s="1"/>
  <c r="Q108" i="1"/>
  <c r="N108" i="1"/>
  <c r="S108" i="1" s="1"/>
  <c r="N92" i="1"/>
  <c r="Q76" i="1"/>
  <c r="N76" i="1"/>
  <c r="S76" i="1" s="1"/>
  <c r="N22" i="1"/>
  <c r="Q558" i="1"/>
  <c r="N558" i="1"/>
  <c r="S558" i="1" s="1"/>
  <c r="Q652" i="1"/>
  <c r="N652" i="1"/>
  <c r="S652" i="1" s="1"/>
  <c r="Q564" i="1"/>
  <c r="N564" i="1"/>
  <c r="S564" i="1" s="1"/>
  <c r="N444" i="1"/>
  <c r="Q392" i="1"/>
  <c r="R392" i="1" s="1"/>
  <c r="S392" i="1" s="1"/>
  <c r="N392" i="1"/>
  <c r="N300" i="1"/>
  <c r="N84" i="1"/>
  <c r="N9" i="1"/>
  <c r="Q246" i="1"/>
  <c r="R246" i="1"/>
  <c r="N246" i="1"/>
  <c r="Q210" i="1"/>
  <c r="N210" i="1"/>
  <c r="S210" i="1" s="1"/>
  <c r="N698" i="1"/>
  <c r="Q538" i="1"/>
  <c r="N538" i="1"/>
  <c r="S538" i="1" s="1"/>
  <c r="N358" i="1"/>
  <c r="S358" i="1" s="1"/>
  <c r="Q358" i="1"/>
  <c r="Q294" i="1"/>
  <c r="N294" i="1"/>
  <c r="S294" i="1" s="1"/>
  <c r="N222" i="1"/>
  <c r="Q174" i="1"/>
  <c r="N174" i="1"/>
  <c r="S174" i="1" s="1"/>
  <c r="N504" i="1"/>
  <c r="N344" i="1"/>
  <c r="S344" i="1" s="1"/>
  <c r="N648" i="1"/>
  <c r="N632" i="1"/>
  <c r="N402" i="1"/>
  <c r="Q353" i="1"/>
  <c r="N353" i="1"/>
  <c r="S353" i="1" s="1"/>
  <c r="Q17" i="1"/>
  <c r="N17" i="1"/>
  <c r="S17" i="1" s="1"/>
  <c r="Q330" i="1"/>
  <c r="N330" i="1"/>
  <c r="S330" i="1" s="1"/>
  <c r="Q634" i="1"/>
  <c r="N634" i="1"/>
  <c r="S634" i="1" s="1"/>
  <c r="Q82" i="1"/>
  <c r="N82" i="1"/>
  <c r="S82" i="1" s="1"/>
  <c r="Q505" i="1"/>
  <c r="N505" i="1"/>
  <c r="S505" i="1" s="1"/>
  <c r="N497" i="1"/>
  <c r="N485" i="1"/>
  <c r="Q481" i="1"/>
  <c r="N481" i="1"/>
  <c r="S481" i="1" s="1"/>
  <c r="N445" i="1"/>
  <c r="N437" i="1"/>
  <c r="N413" i="1"/>
  <c r="N373" i="1"/>
  <c r="Q361" i="1"/>
  <c r="R361" i="1" s="1"/>
  <c r="N361" i="1"/>
  <c r="Q341" i="1"/>
  <c r="N341" i="1"/>
  <c r="S341" i="1" s="1"/>
  <c r="Q329" i="1"/>
  <c r="N329" i="1"/>
  <c r="S329" i="1" s="1"/>
  <c r="N313" i="1"/>
  <c r="N301" i="1"/>
  <c r="N285" i="1"/>
  <c r="N277" i="1"/>
  <c r="Q265" i="1"/>
  <c r="N265" i="1"/>
  <c r="S265" i="1" s="1"/>
  <c r="N241" i="1"/>
  <c r="Q229" i="1"/>
  <c r="R229" i="1" s="1"/>
  <c r="N229" i="1"/>
  <c r="N205" i="1"/>
  <c r="Q181" i="1"/>
  <c r="N181" i="1"/>
  <c r="S181" i="1" s="1"/>
  <c r="N173" i="1"/>
  <c r="N161" i="1"/>
  <c r="N105" i="1"/>
  <c r="Q101" i="1"/>
  <c r="R101" i="1" s="1"/>
  <c r="N101" i="1"/>
  <c r="Q89" i="1"/>
  <c r="R89" i="1" s="1"/>
  <c r="S89" i="1" s="1"/>
  <c r="N89" i="1"/>
  <c r="Q81" i="1"/>
  <c r="N81" i="1"/>
  <c r="S81" i="1" s="1"/>
  <c r="Q69" i="1"/>
  <c r="N69" i="1"/>
  <c r="S69" i="1" s="1"/>
  <c r="N49" i="1"/>
  <c r="N33" i="1"/>
  <c r="N21" i="1"/>
  <c r="N13" i="1"/>
  <c r="Q686" i="1"/>
  <c r="N686" i="1"/>
  <c r="S686" i="1" s="1"/>
  <c r="Q658" i="1"/>
  <c r="R658" i="1" s="1"/>
  <c r="S658" i="1" s="1"/>
  <c r="N658" i="1"/>
  <c r="Q598" i="1"/>
  <c r="N598" i="1"/>
  <c r="S598" i="1" s="1"/>
  <c r="N580" i="1"/>
  <c r="Q480" i="1"/>
  <c r="N480" i="1"/>
  <c r="S480" i="1" s="1"/>
  <c r="N418" i="1"/>
  <c r="Q172" i="1"/>
  <c r="N172" i="1"/>
  <c r="S172" i="1" s="1"/>
  <c r="Q124" i="1"/>
  <c r="N124" i="1"/>
  <c r="S124" i="1" s="1"/>
  <c r="N262" i="1"/>
  <c r="Q150" i="1"/>
  <c r="N150" i="1"/>
  <c r="S150" i="1" s="1"/>
  <c r="N689" i="1"/>
  <c r="N673" i="1"/>
  <c r="S673" i="1" s="1"/>
  <c r="N657" i="1"/>
  <c r="S657" i="1" s="1"/>
  <c r="N641" i="1"/>
  <c r="N625" i="1"/>
  <c r="N609" i="1"/>
  <c r="S609" i="1" s="1"/>
  <c r="N593" i="1"/>
  <c r="S593" i="1" s="1"/>
  <c r="N577" i="1"/>
  <c r="N561" i="1"/>
  <c r="N545" i="1"/>
  <c r="S545" i="1" s="1"/>
  <c r="N529" i="1"/>
  <c r="N513" i="1"/>
  <c r="S513" i="1" s="1"/>
  <c r="N493" i="1"/>
  <c r="S493" i="1" s="1"/>
  <c r="N441" i="1"/>
  <c r="S441" i="1" s="1"/>
  <c r="N409" i="1"/>
  <c r="S409" i="1" s="1"/>
  <c r="N312" i="1"/>
  <c r="Q684" i="1"/>
  <c r="R684" i="1" s="1"/>
  <c r="N684" i="1"/>
  <c r="Q674" i="1"/>
  <c r="N674" i="1"/>
  <c r="S674" i="1" s="1"/>
  <c r="Q608" i="1"/>
  <c r="N608" i="1"/>
  <c r="S608" i="1" s="1"/>
  <c r="Q556" i="1"/>
  <c r="R556" i="1" s="1"/>
  <c r="N556" i="1"/>
  <c r="Q546" i="1"/>
  <c r="N546" i="1"/>
  <c r="S546" i="1" s="1"/>
  <c r="Q486" i="1"/>
  <c r="R486" i="1" s="1"/>
  <c r="N486" i="1"/>
  <c r="Q436" i="1"/>
  <c r="N436" i="1"/>
  <c r="S436" i="1" s="1"/>
  <c r="N332" i="1"/>
  <c r="N212" i="1"/>
  <c r="N158" i="1"/>
  <c r="Q54" i="1"/>
  <c r="N54" i="1"/>
  <c r="S54" i="1" s="1"/>
  <c r="Q590" i="1"/>
  <c r="N590" i="1"/>
  <c r="S590" i="1" s="1"/>
  <c r="Q458" i="1"/>
  <c r="N458" i="1"/>
  <c r="S458" i="1" s="1"/>
  <c r="Q338" i="1"/>
  <c r="N338" i="1"/>
  <c r="S338" i="1" s="1"/>
  <c r="Q306" i="1"/>
  <c r="N306" i="1"/>
  <c r="S306" i="1" s="1"/>
  <c r="Q186" i="1"/>
  <c r="N186" i="1"/>
  <c r="S186" i="1" s="1"/>
  <c r="N701" i="1"/>
  <c r="N685" i="1"/>
  <c r="N669" i="1"/>
  <c r="N653" i="1"/>
  <c r="S653" i="1" s="1"/>
  <c r="N637" i="1"/>
  <c r="N621" i="1"/>
  <c r="S621" i="1" s="1"/>
  <c r="N605" i="1"/>
  <c r="S605" i="1" s="1"/>
  <c r="N573" i="1"/>
  <c r="N557" i="1"/>
  <c r="S557" i="1" s="1"/>
  <c r="N541" i="1"/>
  <c r="N525" i="1"/>
  <c r="N509" i="1"/>
  <c r="N465" i="1"/>
  <c r="S465" i="1" s="1"/>
  <c r="N433" i="1"/>
  <c r="S433" i="1" s="1"/>
  <c r="N401" i="1"/>
  <c r="S401" i="1" s="1"/>
  <c r="N232" i="1"/>
  <c r="S232" i="1" s="1"/>
  <c r="Q476" i="1"/>
  <c r="R476" i="1" s="1"/>
  <c r="Q390" i="1"/>
  <c r="N390" i="1"/>
  <c r="S390" i="1" s="1"/>
  <c r="Q352" i="1"/>
  <c r="R352" i="1" s="1"/>
  <c r="N138" i="1"/>
  <c r="Q30" i="1"/>
  <c r="N30" i="1"/>
  <c r="S30" i="1" s="1"/>
  <c r="N327" i="1"/>
  <c r="Q78" i="1"/>
  <c r="N78" i="1"/>
  <c r="S78" i="1" s="1"/>
  <c r="N46" i="1"/>
  <c r="N664" i="1"/>
  <c r="S664" i="1" s="1"/>
  <c r="N656" i="1"/>
  <c r="N644" i="1"/>
  <c r="S644" i="1" s="1"/>
  <c r="N640" i="1"/>
  <c r="N612" i="1"/>
  <c r="S612" i="1" s="1"/>
  <c r="N600" i="1"/>
  <c r="S600" i="1" s="1"/>
  <c r="N576" i="1"/>
  <c r="S576" i="1" s="1"/>
  <c r="N560" i="1"/>
  <c r="S560" i="1" s="1"/>
  <c r="N548" i="1"/>
  <c r="S548" i="1" s="1"/>
  <c r="N544" i="1"/>
  <c r="S544" i="1" s="1"/>
  <c r="N536" i="1"/>
  <c r="N532" i="1"/>
  <c r="S532" i="1" s="1"/>
  <c r="N528" i="1"/>
  <c r="S528" i="1" s="1"/>
  <c r="N512" i="1"/>
  <c r="S512" i="1" s="1"/>
  <c r="N502" i="1"/>
  <c r="S502" i="1" s="1"/>
  <c r="N492" i="1"/>
  <c r="S492" i="1" s="1"/>
  <c r="N476" i="1"/>
  <c r="N464" i="1"/>
  <c r="S464" i="1" s="1"/>
  <c r="N456" i="1"/>
  <c r="S456" i="1" s="1"/>
  <c r="N432" i="1"/>
  <c r="S432" i="1" s="1"/>
  <c r="N424" i="1"/>
  <c r="N416" i="1"/>
  <c r="S416" i="1" s="1"/>
  <c r="N408" i="1"/>
  <c r="S408" i="1" s="1"/>
  <c r="N400" i="1"/>
  <c r="S400" i="1" s="1"/>
  <c r="N372" i="1"/>
  <c r="S372" i="1" s="1"/>
  <c r="N356" i="1"/>
  <c r="S356" i="1" s="1"/>
  <c r="N324" i="1"/>
  <c r="S324" i="1" s="1"/>
  <c r="N292" i="1"/>
  <c r="S292" i="1" s="1"/>
  <c r="N276" i="1"/>
  <c r="S276" i="1" s="1"/>
  <c r="N260" i="1"/>
  <c r="N196" i="1"/>
  <c r="S196" i="1" s="1"/>
  <c r="N180" i="1"/>
  <c r="S180" i="1" s="1"/>
  <c r="N52" i="1"/>
  <c r="S52" i="1" s="1"/>
  <c r="N36" i="1"/>
  <c r="N20" i="1"/>
  <c r="S20" i="1" s="1"/>
  <c r="R679" i="1"/>
  <c r="Q588" i="1"/>
  <c r="R588" i="1"/>
  <c r="S588" i="1" s="1"/>
  <c r="Q450" i="1"/>
  <c r="N450" i="1"/>
  <c r="S450" i="1" s="1"/>
  <c r="Q434" i="1"/>
  <c r="N434" i="1"/>
  <c r="S434" i="1" s="1"/>
  <c r="Q550" i="1"/>
  <c r="R550" i="1" s="1"/>
  <c r="Q500" i="1"/>
  <c r="R500" i="1" s="1"/>
  <c r="N466" i="1"/>
  <c r="N422" i="1"/>
  <c r="Q406" i="1"/>
  <c r="N406" i="1"/>
  <c r="S406" i="1" s="1"/>
  <c r="Q388" i="1"/>
  <c r="R388" i="1" s="1"/>
  <c r="Q287" i="1"/>
  <c r="N287" i="1"/>
  <c r="S287" i="1" s="1"/>
  <c r="N259" i="1"/>
  <c r="Q160" i="1"/>
  <c r="R160" i="1" s="1"/>
  <c r="Q96" i="1"/>
  <c r="R96" i="1" s="1"/>
  <c r="N6" i="1"/>
  <c r="N374" i="1"/>
  <c r="N286" i="1"/>
  <c r="Q202" i="1"/>
  <c r="N202" i="1"/>
  <c r="S202" i="1" s="1"/>
  <c r="Q118" i="1"/>
  <c r="N118" i="1"/>
  <c r="S118" i="1" s="1"/>
  <c r="N378" i="1"/>
  <c r="Q322" i="1"/>
  <c r="N322" i="1"/>
  <c r="S322" i="1" s="1"/>
  <c r="Q282" i="1"/>
  <c r="N282" i="1"/>
  <c r="S282" i="1" s="1"/>
  <c r="Q250" i="1"/>
  <c r="N250" i="1"/>
  <c r="S250" i="1" s="1"/>
  <c r="Q215" i="1"/>
  <c r="N215" i="1"/>
  <c r="S215" i="1" s="1"/>
  <c r="N170" i="1"/>
  <c r="Q130" i="1"/>
  <c r="N130" i="1"/>
  <c r="S130" i="1" s="1"/>
  <c r="Q102" i="1"/>
  <c r="N102" i="1"/>
  <c r="S102" i="1" s="1"/>
  <c r="Q3" i="1"/>
  <c r="R3" i="1" s="1"/>
  <c r="N507" i="1"/>
  <c r="N503" i="1"/>
  <c r="Q499" i="1"/>
  <c r="N499" i="1"/>
  <c r="S499" i="1" s="1"/>
  <c r="Q487" i="1"/>
  <c r="N487" i="1"/>
  <c r="S487" i="1" s="1"/>
  <c r="N479" i="1"/>
  <c r="Q475" i="1"/>
  <c r="N475" i="1"/>
  <c r="S475" i="1" s="1"/>
  <c r="Q467" i="1"/>
  <c r="N467" i="1"/>
  <c r="S467" i="1" s="1"/>
  <c r="Q451" i="1"/>
  <c r="N451" i="1"/>
  <c r="S451" i="1" s="1"/>
  <c r="Q447" i="1"/>
  <c r="N447" i="1"/>
  <c r="S447" i="1" s="1"/>
  <c r="Q443" i="1"/>
  <c r="N443" i="1"/>
  <c r="S443" i="1" s="1"/>
  <c r="Q439" i="1"/>
  <c r="N439" i="1"/>
  <c r="S439" i="1" s="1"/>
  <c r="N435" i="1"/>
  <c r="N431" i="1"/>
  <c r="Q427" i="1"/>
  <c r="N427" i="1"/>
  <c r="S427" i="1" s="1"/>
  <c r="Q423" i="1"/>
  <c r="N423" i="1"/>
  <c r="S423" i="1" s="1"/>
  <c r="N415" i="1"/>
  <c r="N411" i="1"/>
  <c r="Q407" i="1"/>
  <c r="N407" i="1"/>
  <c r="S407" i="1" s="1"/>
  <c r="N403" i="1"/>
  <c r="Q395" i="1"/>
  <c r="N395" i="1"/>
  <c r="S395" i="1" s="1"/>
  <c r="Q391" i="1"/>
  <c r="N391" i="1"/>
  <c r="S391" i="1" s="1"/>
  <c r="N387" i="1"/>
  <c r="N383" i="1"/>
  <c r="N379" i="1"/>
  <c r="Q375" i="1"/>
  <c r="N375" i="1"/>
  <c r="S375" i="1" s="1"/>
  <c r="Q371" i="1"/>
  <c r="N371" i="1"/>
  <c r="S371" i="1" s="1"/>
  <c r="Q367" i="1"/>
  <c r="N367" i="1"/>
  <c r="S367" i="1" s="1"/>
  <c r="Q363" i="1"/>
  <c r="N363" i="1"/>
  <c r="S363" i="1" s="1"/>
  <c r="Q355" i="1"/>
  <c r="N355" i="1"/>
  <c r="S355" i="1" s="1"/>
  <c r="N351" i="1"/>
  <c r="Q343" i="1"/>
  <c r="N343" i="1"/>
  <c r="S343" i="1" s="1"/>
  <c r="N331" i="1"/>
  <c r="Q319" i="1"/>
  <c r="N319" i="1"/>
  <c r="S319" i="1" s="1"/>
  <c r="Q315" i="1"/>
  <c r="N315" i="1"/>
  <c r="S315" i="1" s="1"/>
  <c r="N311" i="1"/>
  <c r="Q307" i="1"/>
  <c r="N307" i="1"/>
  <c r="S307" i="1" s="1"/>
  <c r="Q303" i="1"/>
  <c r="N303" i="1"/>
  <c r="S303" i="1" s="1"/>
  <c r="N299" i="1"/>
  <c r="N295" i="1"/>
  <c r="Q291" i="1"/>
  <c r="N291" i="1"/>
  <c r="S291" i="1" s="1"/>
  <c r="Q283" i="1"/>
  <c r="N283" i="1"/>
  <c r="S283" i="1" s="1"/>
  <c r="N279" i="1"/>
  <c r="N275" i="1"/>
  <c r="N267" i="1"/>
  <c r="Q263" i="1"/>
  <c r="N263" i="1"/>
  <c r="S263" i="1" s="1"/>
  <c r="Q255" i="1"/>
  <c r="N255" i="1"/>
  <c r="S255" i="1" s="1"/>
  <c r="Q251" i="1"/>
  <c r="N251" i="1"/>
  <c r="S251" i="1" s="1"/>
  <c r="Q247" i="1"/>
  <c r="N247" i="1"/>
  <c r="S247" i="1" s="1"/>
  <c r="Q243" i="1"/>
  <c r="N243" i="1"/>
  <c r="S243" i="1" s="1"/>
  <c r="Q239" i="1"/>
  <c r="N239" i="1"/>
  <c r="S239" i="1" s="1"/>
  <c r="Q235" i="1"/>
  <c r="N235" i="1"/>
  <c r="S235" i="1" s="1"/>
  <c r="N231" i="1"/>
  <c r="Q223" i="1"/>
  <c r="N223" i="1"/>
  <c r="S223" i="1" s="1"/>
  <c r="Q219" i="1"/>
  <c r="N219" i="1"/>
  <c r="S219" i="1" s="1"/>
  <c r="N207" i="1"/>
  <c r="Q203" i="1"/>
  <c r="N203" i="1"/>
  <c r="S203" i="1" s="1"/>
  <c r="N199" i="1"/>
  <c r="N191" i="1"/>
  <c r="N183" i="1"/>
  <c r="Q179" i="1"/>
  <c r="N179" i="1"/>
  <c r="S179" i="1" s="1"/>
  <c r="Q171" i="1"/>
  <c r="N171" i="1"/>
  <c r="S171" i="1" s="1"/>
  <c r="Q167" i="1"/>
  <c r="N167" i="1"/>
  <c r="S167" i="1" s="1"/>
  <c r="N163" i="1"/>
  <c r="N159" i="1"/>
  <c r="N147" i="1"/>
  <c r="Q143" i="1"/>
  <c r="N143" i="1"/>
  <c r="S143" i="1" s="1"/>
  <c r="Q139" i="1"/>
  <c r="N139" i="1"/>
  <c r="S139" i="1" s="1"/>
  <c r="Q131" i="1"/>
  <c r="N131" i="1"/>
  <c r="S131" i="1" s="1"/>
  <c r="Q127" i="1"/>
  <c r="N127" i="1"/>
  <c r="S127" i="1" s="1"/>
  <c r="Q119" i="1"/>
  <c r="N119" i="1"/>
  <c r="S119" i="1" s="1"/>
  <c r="N115" i="1"/>
  <c r="N111" i="1"/>
  <c r="N103" i="1"/>
  <c r="Q99" i="1"/>
  <c r="N99" i="1"/>
  <c r="S99" i="1" s="1"/>
  <c r="Q91" i="1"/>
  <c r="N91" i="1"/>
  <c r="S91" i="1" s="1"/>
  <c r="Q87" i="1"/>
  <c r="N87" i="1"/>
  <c r="S87" i="1" s="1"/>
  <c r="N83" i="1"/>
  <c r="N79" i="1"/>
  <c r="N75" i="1"/>
  <c r="Q63" i="1"/>
  <c r="N63" i="1"/>
  <c r="S63" i="1" s="1"/>
  <c r="N59" i="1"/>
  <c r="Q55" i="1"/>
  <c r="N55" i="1"/>
  <c r="S55" i="1" s="1"/>
  <c r="N47" i="1"/>
  <c r="Q43" i="1"/>
  <c r="N43" i="1"/>
  <c r="S43" i="1" s="1"/>
  <c r="Q35" i="1"/>
  <c r="N35" i="1"/>
  <c r="S35" i="1" s="1"/>
  <c r="N27" i="1"/>
  <c r="Q23" i="1"/>
  <c r="N23" i="1"/>
  <c r="S23" i="1" s="1"/>
  <c r="N19" i="1"/>
  <c r="N15" i="1"/>
  <c r="N3" i="1"/>
  <c r="N699" i="1"/>
  <c r="N695" i="1"/>
  <c r="N691" i="1"/>
  <c r="N687" i="1"/>
  <c r="N679" i="1"/>
  <c r="N671" i="1"/>
  <c r="N667" i="1"/>
  <c r="S667" i="1" s="1"/>
  <c r="N663" i="1"/>
  <c r="S663" i="1" s="1"/>
  <c r="N659" i="1"/>
  <c r="S659" i="1" s="1"/>
  <c r="N655" i="1"/>
  <c r="S655" i="1" s="1"/>
  <c r="N647" i="1"/>
  <c r="N643" i="1"/>
  <c r="S643" i="1" s="1"/>
  <c r="N639" i="1"/>
  <c r="S639" i="1" s="1"/>
  <c r="N635" i="1"/>
  <c r="S635" i="1" s="1"/>
  <c r="N623" i="1"/>
  <c r="S623" i="1" s="1"/>
  <c r="N619" i="1"/>
  <c r="S619" i="1" s="1"/>
  <c r="N615" i="1"/>
  <c r="N611" i="1"/>
  <c r="N607" i="1"/>
  <c r="S607" i="1" s="1"/>
  <c r="N603" i="1"/>
  <c r="N599" i="1"/>
  <c r="N595" i="1"/>
  <c r="N591" i="1"/>
  <c r="S591" i="1" s="1"/>
  <c r="N587" i="1"/>
  <c r="N579" i="1"/>
  <c r="S579" i="1" s="1"/>
  <c r="N575" i="1"/>
  <c r="N571" i="1"/>
  <c r="N563" i="1"/>
  <c r="S563" i="1" s="1"/>
  <c r="N559" i="1"/>
  <c r="S559" i="1" s="1"/>
  <c r="N551" i="1"/>
  <c r="N547" i="1"/>
  <c r="N543" i="1"/>
  <c r="N539" i="1"/>
  <c r="N535" i="1"/>
  <c r="N531" i="1"/>
  <c r="N527" i="1"/>
  <c r="N523" i="1"/>
  <c r="N519" i="1"/>
  <c r="S519" i="1" s="1"/>
  <c r="N515" i="1"/>
  <c r="N511" i="1"/>
  <c r="S511" i="1" s="1"/>
  <c r="N368" i="1"/>
  <c r="S368" i="1" s="1"/>
  <c r="N352" i="1"/>
  <c r="N336" i="1"/>
  <c r="S336" i="1" s="1"/>
  <c r="N320" i="1"/>
  <c r="S320" i="1" s="1"/>
  <c r="N288" i="1"/>
  <c r="S288" i="1" s="1"/>
  <c r="N240" i="1"/>
  <c r="N208" i="1"/>
  <c r="S208" i="1" s="1"/>
  <c r="N192" i="1"/>
  <c r="S192" i="1" s="1"/>
  <c r="N176" i="1"/>
  <c r="N160" i="1"/>
  <c r="N144" i="1"/>
  <c r="S144" i="1" s="1"/>
  <c r="N128" i="1"/>
  <c r="N112" i="1"/>
  <c r="S112" i="1" s="1"/>
  <c r="N96" i="1"/>
  <c r="N80" i="1"/>
  <c r="S80" i="1" s="1"/>
  <c r="N16" i="1"/>
  <c r="Q592" i="1"/>
  <c r="R592" i="1"/>
  <c r="S592" i="1" s="1"/>
  <c r="Q540" i="1"/>
  <c r="R540" i="1" s="1"/>
  <c r="S540" i="1" s="1"/>
  <c r="Q524" i="1"/>
  <c r="R524" i="1" s="1"/>
  <c r="S524" i="1" s="1"/>
  <c r="N454" i="1"/>
  <c r="Q438" i="1"/>
  <c r="N438" i="1"/>
  <c r="S438" i="1" s="1"/>
  <c r="Q396" i="1"/>
  <c r="R396" i="1" s="1"/>
  <c r="Q386" i="1"/>
  <c r="N386" i="1"/>
  <c r="S386" i="1" s="1"/>
  <c r="Q268" i="1"/>
  <c r="R268" i="1" s="1"/>
  <c r="Q56" i="1"/>
  <c r="R56" i="1" s="1"/>
  <c r="S56" i="1" s="1"/>
  <c r="Q18" i="1"/>
  <c r="R18" i="1" s="1"/>
  <c r="N18" i="1"/>
  <c r="Q350" i="1"/>
  <c r="N350" i="1"/>
  <c r="S350" i="1" s="1"/>
  <c r="N266" i="1"/>
  <c r="N182" i="1"/>
  <c r="N74" i="1"/>
  <c r="Q602" i="1"/>
  <c r="R602" i="1" s="1"/>
  <c r="Q462" i="1"/>
  <c r="N462" i="1"/>
  <c r="S462" i="1" s="1"/>
  <c r="N370" i="1"/>
  <c r="Q314" i="1"/>
  <c r="R314" i="1" s="1"/>
  <c r="N314" i="1"/>
  <c r="Q278" i="1"/>
  <c r="N278" i="1"/>
  <c r="S278" i="1" s="1"/>
  <c r="Q238" i="1"/>
  <c r="N238" i="1"/>
  <c r="S238" i="1" s="1"/>
  <c r="N214" i="1"/>
  <c r="Q190" i="1"/>
  <c r="N190" i="1"/>
  <c r="S190" i="1" s="1"/>
  <c r="N126" i="1"/>
  <c r="N95" i="1"/>
  <c r="Q62" i="1"/>
  <c r="N62" i="1"/>
  <c r="S62" i="1" s="1"/>
  <c r="N26" i="1"/>
  <c r="Q574" i="1"/>
  <c r="R574" i="1" s="1"/>
  <c r="N442" i="1"/>
  <c r="Q430" i="1"/>
  <c r="N430" i="1"/>
  <c r="S430" i="1" s="1"/>
  <c r="Q414" i="1"/>
  <c r="R414" i="1" s="1"/>
  <c r="N414" i="1"/>
  <c r="Q398" i="1"/>
  <c r="N398" i="1"/>
  <c r="S398" i="1" s="1"/>
  <c r="Q382" i="1"/>
  <c r="N382" i="1"/>
  <c r="S382" i="1" s="1"/>
  <c r="N366" i="1"/>
  <c r="N362" i="1"/>
  <c r="Q354" i="1"/>
  <c r="N354" i="1"/>
  <c r="S354" i="1" s="1"/>
  <c r="N346" i="1"/>
  <c r="N342" i="1"/>
  <c r="N334" i="1"/>
  <c r="N326" i="1"/>
  <c r="Q318" i="1"/>
  <c r="R318" i="1"/>
  <c r="S318" i="1" s="1"/>
  <c r="N318" i="1"/>
  <c r="Q302" i="1"/>
  <c r="N302" i="1"/>
  <c r="S302" i="1" s="1"/>
  <c r="N298" i="1"/>
  <c r="N290" i="1"/>
  <c r="N274" i="1"/>
  <c r="Q270" i="1"/>
  <c r="N270" i="1"/>
  <c r="S270" i="1" s="1"/>
  <c r="Q254" i="1"/>
  <c r="N254" i="1"/>
  <c r="S254" i="1" s="1"/>
  <c r="N242" i="1"/>
  <c r="N226" i="1"/>
  <c r="Q218" i="1"/>
  <c r="N218" i="1"/>
  <c r="S218" i="1" s="1"/>
  <c r="Q206" i="1"/>
  <c r="N206" i="1"/>
  <c r="S206" i="1" s="1"/>
  <c r="Q194" i="1"/>
  <c r="N194" i="1"/>
  <c r="S194" i="1" s="1"/>
  <c r="Q178" i="1"/>
  <c r="N178" i="1"/>
  <c r="S178" i="1" s="1"/>
  <c r="N166" i="1"/>
  <c r="Q162" i="1"/>
  <c r="N162" i="1"/>
  <c r="S162" i="1" s="1"/>
  <c r="Q154" i="1"/>
  <c r="N154" i="1"/>
  <c r="S154" i="1" s="1"/>
  <c r="Q142" i="1"/>
  <c r="N142" i="1"/>
  <c r="S142" i="1" s="1"/>
  <c r="N134" i="1"/>
  <c r="N122" i="1"/>
  <c r="Q110" i="1"/>
  <c r="N110" i="1"/>
  <c r="S110" i="1" s="1"/>
  <c r="Q106" i="1"/>
  <c r="N106" i="1"/>
  <c r="S106" i="1" s="1"/>
  <c r="N98" i="1"/>
  <c r="N94" i="1"/>
  <c r="N90" i="1"/>
  <c r="Q86" i="1"/>
  <c r="N86" i="1"/>
  <c r="S86" i="1" s="1"/>
  <c r="Q70" i="1"/>
  <c r="R70" i="1" s="1"/>
  <c r="S70" i="1" s="1"/>
  <c r="N70" i="1"/>
  <c r="Q66" i="1"/>
  <c r="N66" i="1"/>
  <c r="S66" i="1" s="1"/>
  <c r="Q50" i="1"/>
  <c r="N50" i="1"/>
  <c r="S50" i="1" s="1"/>
  <c r="N42" i="1"/>
  <c r="N38" i="1"/>
  <c r="N34" i="1"/>
  <c r="N10" i="1"/>
  <c r="N702" i="1"/>
  <c r="S702" i="1" s="1"/>
  <c r="N690" i="1"/>
  <c r="N682" i="1"/>
  <c r="S682" i="1" s="1"/>
  <c r="N678" i="1"/>
  <c r="S678" i="1" s="1"/>
  <c r="N670" i="1"/>
  <c r="S670" i="1" s="1"/>
  <c r="N666" i="1"/>
  <c r="S666" i="1" s="1"/>
  <c r="N662" i="1"/>
  <c r="S662" i="1" s="1"/>
  <c r="N650" i="1"/>
  <c r="S650" i="1" s="1"/>
  <c r="N646" i="1"/>
  <c r="S646" i="1" s="1"/>
  <c r="N638" i="1"/>
  <c r="S638" i="1" s="1"/>
  <c r="N630" i="1"/>
  <c r="S630" i="1" s="1"/>
  <c r="N622" i="1"/>
  <c r="S622" i="1" s="1"/>
  <c r="N610" i="1"/>
  <c r="S610" i="1" s="1"/>
  <c r="N606" i="1"/>
  <c r="S606" i="1" s="1"/>
  <c r="N602" i="1"/>
  <c r="N594" i="1"/>
  <c r="S594" i="1" s="1"/>
  <c r="N582" i="1"/>
  <c r="N578" i="1"/>
  <c r="N574" i="1"/>
  <c r="N570" i="1"/>
  <c r="N566" i="1"/>
  <c r="S566" i="1" s="1"/>
  <c r="N562" i="1"/>
  <c r="N554" i="1"/>
  <c r="S554" i="1" s="1"/>
  <c r="N550" i="1"/>
  <c r="N534" i="1"/>
  <c r="S534" i="1" s="1"/>
  <c r="N526" i="1"/>
  <c r="N522" i="1"/>
  <c r="N518" i="1"/>
  <c r="S518" i="1" s="1"/>
  <c r="N514" i="1"/>
  <c r="S514" i="1" s="1"/>
  <c r="N510" i="1"/>
  <c r="S510" i="1" s="1"/>
  <c r="N500" i="1"/>
  <c r="N494" i="1"/>
  <c r="S494" i="1" s="1"/>
  <c r="N484" i="1"/>
  <c r="S484" i="1" s="1"/>
  <c r="N478" i="1"/>
  <c r="S478" i="1" s="1"/>
  <c r="N468" i="1"/>
  <c r="N460" i="1"/>
  <c r="S460" i="1" s="1"/>
  <c r="N420" i="1"/>
  <c r="S420" i="1" s="1"/>
  <c r="N412" i="1"/>
  <c r="S412" i="1" s="1"/>
  <c r="N404" i="1"/>
  <c r="S404" i="1" s="1"/>
  <c r="N396" i="1"/>
  <c r="N388" i="1"/>
  <c r="N380" i="1"/>
  <c r="N348" i="1"/>
  <c r="N316" i="1"/>
  <c r="S316" i="1" s="1"/>
  <c r="N284" i="1"/>
  <c r="S284" i="1" s="1"/>
  <c r="N268" i="1"/>
  <c r="N252" i="1"/>
  <c r="N236" i="1"/>
  <c r="N220" i="1"/>
  <c r="S220" i="1" s="1"/>
  <c r="N204" i="1"/>
  <c r="S204" i="1" s="1"/>
  <c r="N188" i="1"/>
  <c r="S188" i="1" s="1"/>
  <c r="N60" i="1"/>
  <c r="N44" i="1"/>
  <c r="N28" i="1"/>
  <c r="S28" i="1" s="1"/>
  <c r="N12" i="1"/>
  <c r="S700" i="1"/>
  <c r="Q366" i="1"/>
  <c r="R366" i="1" s="1"/>
  <c r="S366" i="1" s="1"/>
  <c r="Q342" i="1"/>
  <c r="R342" i="1" s="1"/>
  <c r="Q326" i="1"/>
  <c r="R326" i="1" s="1"/>
  <c r="S326" i="1" s="1"/>
  <c r="Q290" i="1"/>
  <c r="R290" i="1" s="1"/>
  <c r="S290" i="1" s="1"/>
  <c r="Q242" i="1"/>
  <c r="R242" i="1" s="1"/>
  <c r="S242" i="1" s="1"/>
  <c r="Q226" i="1"/>
  <c r="R226" i="1" s="1"/>
  <c r="S226" i="1" s="1"/>
  <c r="Q166" i="1"/>
  <c r="R166" i="1" s="1"/>
  <c r="S166" i="1" s="1"/>
  <c r="Q134" i="1"/>
  <c r="R134" i="1" s="1"/>
  <c r="S134" i="1" s="1"/>
  <c r="Q94" i="1"/>
  <c r="R94" i="1" s="1"/>
  <c r="S94" i="1" s="1"/>
  <c r="Q90" i="1"/>
  <c r="R90" i="1" s="1"/>
  <c r="S90" i="1" s="1"/>
  <c r="Q42" i="1"/>
  <c r="R42" i="1" s="1"/>
  <c r="Q547" i="1"/>
  <c r="R547" i="1" s="1"/>
  <c r="S547" i="1" s="1"/>
  <c r="Q689" i="1"/>
  <c r="R689" i="1" s="1"/>
  <c r="S689" i="1" s="1"/>
  <c r="Q685" i="1"/>
  <c r="R685" i="1" s="1"/>
  <c r="S685" i="1" s="1"/>
  <c r="Q677" i="1"/>
  <c r="R677" i="1" s="1"/>
  <c r="S677" i="1" s="1"/>
  <c r="Q669" i="1"/>
  <c r="R669" i="1" s="1"/>
  <c r="S669" i="1" s="1"/>
  <c r="Q645" i="1"/>
  <c r="R645" i="1" s="1"/>
  <c r="S645" i="1" s="1"/>
  <c r="Q637" i="1"/>
  <c r="R637" i="1" s="1"/>
  <c r="S637" i="1" s="1"/>
  <c r="Q629" i="1"/>
  <c r="R629" i="1" s="1"/>
  <c r="S629" i="1" s="1"/>
  <c r="Q625" i="1"/>
  <c r="R625" i="1" s="1"/>
  <c r="S625" i="1" s="1"/>
  <c r="Q617" i="1"/>
  <c r="R617" i="1" s="1"/>
  <c r="S617" i="1" s="1"/>
  <c r="Q613" i="1"/>
  <c r="R613" i="1" s="1"/>
  <c r="S613" i="1" s="1"/>
  <c r="Q597" i="1"/>
  <c r="R597" i="1" s="1"/>
  <c r="S597" i="1" s="1"/>
  <c r="Q585" i="1"/>
  <c r="R585" i="1" s="1"/>
  <c r="S585" i="1" s="1"/>
  <c r="Q581" i="1"/>
  <c r="R581" i="1" s="1"/>
  <c r="S581" i="1" s="1"/>
  <c r="Q573" i="1"/>
  <c r="R573" i="1" s="1"/>
  <c r="S573" i="1" s="1"/>
  <c r="Q565" i="1"/>
  <c r="R565" i="1" s="1"/>
  <c r="S565" i="1" s="1"/>
  <c r="Q561" i="1"/>
  <c r="R561" i="1" s="1"/>
  <c r="S561" i="1" s="1"/>
  <c r="Q553" i="1"/>
  <c r="R553" i="1" s="1"/>
  <c r="S553" i="1" s="1"/>
  <c r="Q549" i="1"/>
  <c r="R549" i="1" s="1"/>
  <c r="S549" i="1" s="1"/>
  <c r="Q541" i="1"/>
  <c r="R541" i="1" s="1"/>
  <c r="S541" i="1" s="1"/>
  <c r="Q529" i="1"/>
  <c r="R529" i="1" s="1"/>
  <c r="S529" i="1" s="1"/>
  <c r="Q521" i="1"/>
  <c r="R521" i="1" s="1"/>
  <c r="S521" i="1" s="1"/>
  <c r="Q517" i="1"/>
  <c r="R517" i="1" s="1"/>
  <c r="S517" i="1" s="1"/>
  <c r="Q509" i="1"/>
  <c r="R509" i="1" s="1"/>
  <c r="Q497" i="1"/>
  <c r="R497" i="1" s="1"/>
  <c r="S497" i="1" s="1"/>
  <c r="Q489" i="1"/>
  <c r="R489" i="1" s="1"/>
  <c r="S489" i="1" s="1"/>
  <c r="Q485" i="1"/>
  <c r="R485" i="1" s="1"/>
  <c r="S485" i="1" s="1"/>
  <c r="Q445" i="1"/>
  <c r="R445" i="1" s="1"/>
  <c r="S445" i="1" s="1"/>
  <c r="Q437" i="1"/>
  <c r="R437" i="1" s="1"/>
  <c r="S437" i="1" s="1"/>
  <c r="Q425" i="1"/>
  <c r="R425" i="1" s="1"/>
  <c r="S425" i="1" s="1"/>
  <c r="Q413" i="1"/>
  <c r="R413" i="1" s="1"/>
  <c r="S413" i="1" s="1"/>
  <c r="Q405" i="1"/>
  <c r="R405" i="1" s="1"/>
  <c r="S405" i="1" s="1"/>
  <c r="Q393" i="1"/>
  <c r="R393" i="1" s="1"/>
  <c r="S393" i="1" s="1"/>
  <c r="Q389" i="1"/>
  <c r="R389" i="1" s="1"/>
  <c r="S389" i="1" s="1"/>
  <c r="Q381" i="1"/>
  <c r="R381" i="1" s="1"/>
  <c r="S381" i="1" s="1"/>
  <c r="Q373" i="1"/>
  <c r="R373" i="1" s="1"/>
  <c r="S373" i="1" s="1"/>
  <c r="Q365" i="1"/>
  <c r="R365" i="1" s="1"/>
  <c r="S365" i="1" s="1"/>
  <c r="Q333" i="1"/>
  <c r="R333" i="1" s="1"/>
  <c r="S333" i="1" s="1"/>
  <c r="Q317" i="1"/>
  <c r="R317" i="1" s="1"/>
  <c r="S317" i="1" s="1"/>
  <c r="Q309" i="1"/>
  <c r="R309" i="1" s="1"/>
  <c r="S309" i="1" s="1"/>
  <c r="Q301" i="1"/>
  <c r="R301" i="1" s="1"/>
  <c r="S301" i="1" s="1"/>
  <c r="Q293" i="1"/>
  <c r="R293" i="1" s="1"/>
  <c r="S293" i="1" s="1"/>
  <c r="Q285" i="1"/>
  <c r="R285" i="1" s="1"/>
  <c r="S285" i="1" s="1"/>
  <c r="Q281" i="1"/>
  <c r="R281" i="1" s="1"/>
  <c r="S281" i="1" s="1"/>
  <c r="Q277" i="1"/>
  <c r="R277" i="1" s="1"/>
  <c r="S277" i="1" s="1"/>
  <c r="Q257" i="1"/>
  <c r="R257" i="1" s="1"/>
  <c r="S257" i="1" s="1"/>
  <c r="Q241" i="1"/>
  <c r="R241" i="1" s="1"/>
  <c r="S241" i="1" s="1"/>
  <c r="Q225" i="1"/>
  <c r="R225" i="1" s="1"/>
  <c r="S225" i="1" s="1"/>
  <c r="Q217" i="1"/>
  <c r="R217" i="1" s="1"/>
  <c r="S217" i="1" s="1"/>
  <c r="Q209" i="1"/>
  <c r="R209" i="1" s="1"/>
  <c r="S209" i="1" s="1"/>
  <c r="Q527" i="1"/>
  <c r="R527" i="1" s="1"/>
  <c r="S527" i="1" s="1"/>
  <c r="Q614" i="1"/>
  <c r="R614" i="1" s="1"/>
  <c r="S614" i="1" s="1"/>
  <c r="Q601" i="1"/>
  <c r="R601" i="1" s="1"/>
  <c r="S601" i="1" s="1"/>
  <c r="Q473" i="1"/>
  <c r="R473" i="1" s="1"/>
  <c r="S473" i="1" s="1"/>
  <c r="Q429" i="1"/>
  <c r="R429" i="1" s="1"/>
  <c r="S429" i="1" s="1"/>
  <c r="Q88" i="1"/>
  <c r="R88" i="1" s="1"/>
  <c r="S88" i="1" s="1"/>
  <c r="Q49" i="1"/>
  <c r="R49" i="1" s="1"/>
  <c r="S49" i="1" s="1"/>
  <c r="Q33" i="1"/>
  <c r="R33" i="1" s="1"/>
  <c r="S33" i="1" s="1"/>
  <c r="Q25" i="1"/>
  <c r="R25" i="1" s="1"/>
  <c r="S25" i="1" s="1"/>
  <c r="Q13" i="1"/>
  <c r="R13" i="1" s="1"/>
  <c r="S13" i="1" s="1"/>
  <c r="Q374" i="1"/>
  <c r="R374" i="1" s="1"/>
  <c r="S374" i="1" s="1"/>
  <c r="Q370" i="1"/>
  <c r="R370" i="1" s="1"/>
  <c r="S370" i="1" s="1"/>
  <c r="Q690" i="1"/>
  <c r="R690" i="1" s="1"/>
  <c r="S690" i="1" s="1"/>
  <c r="Q672" i="1"/>
  <c r="R672" i="1" s="1"/>
  <c r="S672" i="1" s="1"/>
  <c r="Q640" i="1"/>
  <c r="R640" i="1" s="1"/>
  <c r="S640" i="1" s="1"/>
  <c r="Q632" i="1"/>
  <c r="R632" i="1" s="1"/>
  <c r="S632" i="1" s="1"/>
  <c r="Q626" i="1"/>
  <c r="R626" i="1" s="1"/>
  <c r="S626" i="1" s="1"/>
  <c r="Q620" i="1"/>
  <c r="R620" i="1" s="1"/>
  <c r="S620" i="1" s="1"/>
  <c r="Q568" i="1"/>
  <c r="R568" i="1" s="1"/>
  <c r="S568" i="1" s="1"/>
  <c r="Q562" i="1"/>
  <c r="R562" i="1" s="1"/>
  <c r="S562" i="1" s="1"/>
  <c r="Q536" i="1"/>
  <c r="R536" i="1" s="1"/>
  <c r="S536" i="1" s="1"/>
  <c r="Q530" i="1"/>
  <c r="R530" i="1" s="1"/>
  <c r="S530" i="1" s="1"/>
  <c r="Q504" i="1"/>
  <c r="R504" i="1" s="1"/>
  <c r="S504" i="1" s="1"/>
  <c r="Q498" i="1"/>
  <c r="R498" i="1" s="1"/>
  <c r="S498" i="1" s="1"/>
  <c r="Q466" i="1"/>
  <c r="R466" i="1" s="1"/>
  <c r="S466" i="1" s="1"/>
  <c r="Q448" i="1"/>
  <c r="R448" i="1" s="1"/>
  <c r="S448" i="1" s="1"/>
  <c r="Q440" i="1"/>
  <c r="R440" i="1" s="1"/>
  <c r="S440" i="1" s="1"/>
  <c r="Q428" i="1"/>
  <c r="R428" i="1" s="1"/>
  <c r="S428" i="1" s="1"/>
  <c r="Q402" i="1"/>
  <c r="R402" i="1" s="1"/>
  <c r="S402" i="1" s="1"/>
  <c r="Q384" i="1"/>
  <c r="R384" i="1" s="1"/>
  <c r="S384" i="1" s="1"/>
  <c r="Q376" i="1"/>
  <c r="R376" i="1" s="1"/>
  <c r="S376" i="1" s="1"/>
  <c r="Q312" i="1"/>
  <c r="R312" i="1" s="1"/>
  <c r="S312" i="1" s="1"/>
  <c r="Q304" i="1"/>
  <c r="R304" i="1" s="1"/>
  <c r="S304" i="1" s="1"/>
  <c r="Q259" i="1"/>
  <c r="R259" i="1" s="1"/>
  <c r="S259" i="1" s="1"/>
  <c r="Q252" i="1"/>
  <c r="R252" i="1" s="1"/>
  <c r="S252" i="1" s="1"/>
  <c r="Q244" i="1"/>
  <c r="R244" i="1" s="1"/>
  <c r="S244" i="1" s="1"/>
  <c r="Q236" i="1"/>
  <c r="R236" i="1" s="1"/>
  <c r="S236" i="1" s="1"/>
  <c r="Q228" i="1"/>
  <c r="R228" i="1" s="1"/>
  <c r="S228" i="1" s="1"/>
  <c r="Q212" i="1"/>
  <c r="R212" i="1" s="1"/>
  <c r="S212" i="1" s="1"/>
  <c r="Q173" i="1"/>
  <c r="R173" i="1" s="1"/>
  <c r="S173" i="1" s="1"/>
  <c r="Q133" i="1"/>
  <c r="R133" i="1" s="1"/>
  <c r="S133" i="1" s="1"/>
  <c r="Q109" i="1"/>
  <c r="R109" i="1" s="1"/>
  <c r="S109" i="1" s="1"/>
  <c r="Q93" i="1"/>
  <c r="R93" i="1" s="1"/>
  <c r="S93" i="1" s="1"/>
  <c r="Q77" i="1"/>
  <c r="R77" i="1" s="1"/>
  <c r="S77" i="1" s="1"/>
  <c r="Q64" i="1"/>
  <c r="R64" i="1" s="1"/>
  <c r="S64" i="1" s="1"/>
  <c r="Q48" i="1"/>
  <c r="R48" i="1" s="1"/>
  <c r="S48" i="1" s="1"/>
  <c r="Q32" i="1"/>
  <c r="R32" i="1" s="1"/>
  <c r="S32" i="1" s="1"/>
  <c r="Q24" i="1"/>
  <c r="R24" i="1" s="1"/>
  <c r="S24" i="1" s="1"/>
  <c r="Q12" i="1"/>
  <c r="R12" i="1" s="1"/>
  <c r="S12" i="1" s="1"/>
  <c r="Q665" i="1"/>
  <c r="R665" i="1" s="1"/>
  <c r="S665" i="1" s="1"/>
  <c r="Q461" i="1"/>
  <c r="R461" i="1" s="1"/>
  <c r="S461" i="1" s="1"/>
  <c r="Q454" i="1"/>
  <c r="R454" i="1" s="1"/>
  <c r="S454" i="1" s="1"/>
  <c r="Q422" i="1"/>
  <c r="R422" i="1" s="1"/>
  <c r="S422" i="1" s="1"/>
  <c r="Q397" i="1"/>
  <c r="R397" i="1" s="1"/>
  <c r="S397" i="1" s="1"/>
  <c r="Q385" i="1"/>
  <c r="R385" i="1" s="1"/>
  <c r="S385" i="1" s="1"/>
  <c r="Q260" i="1"/>
  <c r="R260" i="1" s="1"/>
  <c r="S260" i="1" s="1"/>
  <c r="Q128" i="1"/>
  <c r="R128" i="1" s="1"/>
  <c r="S128" i="1" s="1"/>
  <c r="Q182" i="1"/>
  <c r="R182" i="1" s="1"/>
  <c r="S182" i="1" s="1"/>
  <c r="Q522" i="1"/>
  <c r="R522" i="1" s="1"/>
  <c r="S522" i="1" s="1"/>
  <c r="Q410" i="1"/>
  <c r="R410" i="1" s="1"/>
  <c r="S410" i="1" s="1"/>
  <c r="Q327" i="1"/>
  <c r="R327" i="1" s="1"/>
  <c r="S327" i="1" s="1"/>
  <c r="Q230" i="1"/>
  <c r="R230" i="1" s="1"/>
  <c r="S230" i="1" s="1"/>
  <c r="Q170" i="1"/>
  <c r="R170" i="1" s="1"/>
  <c r="S170" i="1" s="1"/>
  <c r="Q146" i="1"/>
  <c r="R146" i="1" s="1"/>
  <c r="S146" i="1" s="1"/>
  <c r="Q676" i="1"/>
  <c r="R676" i="1" s="1"/>
  <c r="S676" i="1" s="1"/>
  <c r="Q580" i="1"/>
  <c r="R580" i="1" s="1"/>
  <c r="S580" i="1" s="1"/>
  <c r="Q516" i="1"/>
  <c r="R516" i="1" s="1"/>
  <c r="S516" i="1" s="1"/>
  <c r="Q470" i="1"/>
  <c r="R470" i="1" s="1"/>
  <c r="S470" i="1" s="1"/>
  <c r="Q452" i="1"/>
  <c r="R452" i="1" s="1"/>
  <c r="S452" i="1" s="1"/>
  <c r="Q264" i="1"/>
  <c r="R264" i="1" s="1"/>
  <c r="S264" i="1" s="1"/>
  <c r="Q193" i="1"/>
  <c r="R193" i="1" s="1"/>
  <c r="S193" i="1" s="1"/>
  <c r="Q177" i="1"/>
  <c r="R177" i="1" s="1"/>
  <c r="S177" i="1" s="1"/>
  <c r="Q100" i="1"/>
  <c r="R100" i="1" s="1"/>
  <c r="S100" i="1" s="1"/>
  <c r="Q92" i="1"/>
  <c r="R92" i="1" s="1"/>
  <c r="S92" i="1" s="1"/>
  <c r="Q68" i="1"/>
  <c r="R68" i="1" s="1"/>
  <c r="S68" i="1" s="1"/>
  <c r="Q22" i="1"/>
  <c r="R22" i="1" s="1"/>
  <c r="S22" i="1" s="1"/>
  <c r="Q9" i="1"/>
  <c r="R9" i="1" s="1"/>
  <c r="S9" i="1" s="1"/>
  <c r="Q53" i="1"/>
  <c r="R53" i="1" s="1"/>
  <c r="S53" i="1" s="1"/>
  <c r="Q286" i="1"/>
  <c r="R286" i="1" s="1"/>
  <c r="Q222" i="1"/>
  <c r="R222" i="1" s="1"/>
  <c r="S222" i="1" s="1"/>
  <c r="Q158" i="1"/>
  <c r="R158" i="1" s="1"/>
  <c r="S158" i="1" s="1"/>
  <c r="Q74" i="1"/>
  <c r="R74" i="1" s="1"/>
  <c r="Q698" i="1"/>
  <c r="R698" i="1" s="1"/>
  <c r="S698" i="1" s="1"/>
  <c r="Q571" i="1"/>
  <c r="R571" i="1" s="1"/>
  <c r="S571" i="1" s="1"/>
  <c r="Q506" i="1"/>
  <c r="R506" i="1" s="1"/>
  <c r="S506" i="1" s="1"/>
  <c r="Q394" i="1"/>
  <c r="R394" i="1" s="1"/>
  <c r="S394" i="1" s="1"/>
  <c r="Q359" i="1"/>
  <c r="R359" i="1" s="1"/>
  <c r="S359" i="1" s="1"/>
  <c r="Q262" i="1"/>
  <c r="R262" i="1" s="1"/>
  <c r="S262" i="1" s="1"/>
  <c r="Q151" i="1"/>
  <c r="R151" i="1" s="1"/>
  <c r="S151" i="1" s="1"/>
  <c r="Q695" i="1"/>
  <c r="R695" i="1" s="1"/>
  <c r="Q691" i="1"/>
  <c r="R691" i="1" s="1"/>
  <c r="S691" i="1" s="1"/>
  <c r="Q687" i="1"/>
  <c r="R687" i="1" s="1"/>
  <c r="S687" i="1" s="1"/>
  <c r="Q683" i="1"/>
  <c r="R683" i="1" s="1"/>
  <c r="S683" i="1" s="1"/>
  <c r="Q671" i="1"/>
  <c r="R671" i="1" s="1"/>
  <c r="Q647" i="1"/>
  <c r="R647" i="1" s="1"/>
  <c r="S647" i="1" s="1"/>
  <c r="Q615" i="1"/>
  <c r="R615" i="1" s="1"/>
  <c r="S615" i="1" s="1"/>
  <c r="Q611" i="1"/>
  <c r="R611" i="1" s="1"/>
  <c r="Q603" i="1"/>
  <c r="R603" i="1" s="1"/>
  <c r="S603" i="1" s="1"/>
  <c r="Q599" i="1"/>
  <c r="R599" i="1" s="1"/>
  <c r="S599" i="1" s="1"/>
  <c r="Q595" i="1"/>
  <c r="R595" i="1" s="1"/>
  <c r="S595" i="1" s="1"/>
  <c r="Q587" i="1"/>
  <c r="R587" i="1" s="1"/>
  <c r="S587" i="1" s="1"/>
  <c r="Q575" i="1"/>
  <c r="R575" i="1" s="1"/>
  <c r="Q567" i="1"/>
  <c r="R567" i="1" s="1"/>
  <c r="S567" i="1" s="1"/>
  <c r="Q555" i="1"/>
  <c r="R555" i="1" s="1"/>
  <c r="S555" i="1" s="1"/>
  <c r="Q551" i="1"/>
  <c r="R551" i="1" s="1"/>
  <c r="Q543" i="1"/>
  <c r="R543" i="1" s="1"/>
  <c r="S543" i="1" s="1"/>
  <c r="Q539" i="1"/>
  <c r="R539" i="1" s="1"/>
  <c r="S539" i="1" s="1"/>
  <c r="Q535" i="1"/>
  <c r="R535" i="1" s="1"/>
  <c r="S535" i="1" s="1"/>
  <c r="Q531" i="1"/>
  <c r="R531" i="1" s="1"/>
  <c r="S531" i="1" s="1"/>
  <c r="Q515" i="1"/>
  <c r="R515" i="1" s="1"/>
  <c r="S515" i="1" s="1"/>
  <c r="Q507" i="1"/>
  <c r="R507" i="1" s="1"/>
  <c r="S507" i="1" s="1"/>
  <c r="Q503" i="1"/>
  <c r="R503" i="1" s="1"/>
  <c r="S503" i="1" s="1"/>
  <c r="Q495" i="1"/>
  <c r="R495" i="1" s="1"/>
  <c r="S495" i="1" s="1"/>
  <c r="Q491" i="1"/>
  <c r="R491" i="1" s="1"/>
  <c r="S491" i="1" s="1"/>
  <c r="Q479" i="1"/>
  <c r="R479" i="1" s="1"/>
  <c r="Q471" i="1"/>
  <c r="R471" i="1" s="1"/>
  <c r="S471" i="1" s="1"/>
  <c r="Q459" i="1"/>
  <c r="R459" i="1" s="1"/>
  <c r="S459" i="1" s="1"/>
  <c r="Q455" i="1"/>
  <c r="R455" i="1" s="1"/>
  <c r="S455" i="1" s="1"/>
  <c r="Q435" i="1"/>
  <c r="R435" i="1" s="1"/>
  <c r="S435" i="1" s="1"/>
  <c r="Q431" i="1"/>
  <c r="R431" i="1" s="1"/>
  <c r="S431" i="1" s="1"/>
  <c r="Q415" i="1"/>
  <c r="R415" i="1" s="1"/>
  <c r="S415" i="1" s="1"/>
  <c r="Q411" i="1"/>
  <c r="R411" i="1" s="1"/>
  <c r="Q403" i="1"/>
  <c r="R403" i="1" s="1"/>
  <c r="S403" i="1" s="1"/>
  <c r="Q387" i="1"/>
  <c r="R387" i="1" s="1"/>
  <c r="S387" i="1" s="1"/>
  <c r="Q383" i="1"/>
  <c r="R383" i="1" s="1"/>
  <c r="S383" i="1" s="1"/>
  <c r="Q379" i="1"/>
  <c r="R379" i="1" s="1"/>
  <c r="S379" i="1" s="1"/>
  <c r="Q351" i="1"/>
  <c r="R351" i="1" s="1"/>
  <c r="S351" i="1" s="1"/>
  <c r="Q335" i="1"/>
  <c r="R335" i="1" s="1"/>
  <c r="S335" i="1" s="1"/>
  <c r="Q331" i="1"/>
  <c r="R331" i="1" s="1"/>
  <c r="S331" i="1" s="1"/>
  <c r="Q323" i="1"/>
  <c r="R323" i="1" s="1"/>
  <c r="S323" i="1" s="1"/>
  <c r="Q311" i="1"/>
  <c r="R311" i="1" s="1"/>
  <c r="S311" i="1" s="1"/>
  <c r="Q299" i="1"/>
  <c r="R299" i="1" s="1"/>
  <c r="S299" i="1" s="1"/>
  <c r="Q295" i="1"/>
  <c r="R295" i="1" s="1"/>
  <c r="S295" i="1" s="1"/>
  <c r="Q279" i="1"/>
  <c r="R279" i="1" s="1"/>
  <c r="Q275" i="1"/>
  <c r="R275" i="1" s="1"/>
  <c r="S275" i="1" s="1"/>
  <c r="Q271" i="1"/>
  <c r="R271" i="1" s="1"/>
  <c r="S271" i="1" s="1"/>
  <c r="Q267" i="1"/>
  <c r="R267" i="1" s="1"/>
  <c r="S267" i="1" s="1"/>
  <c r="Q231" i="1"/>
  <c r="R231" i="1" s="1"/>
  <c r="S231" i="1" s="1"/>
  <c r="Q211" i="1"/>
  <c r="R211" i="1" s="1"/>
  <c r="S211" i="1" s="1"/>
  <c r="Q207" i="1"/>
  <c r="R207" i="1" s="1"/>
  <c r="S207" i="1" s="1"/>
  <c r="Q199" i="1"/>
  <c r="R199" i="1" s="1"/>
  <c r="S199" i="1" s="1"/>
  <c r="Q191" i="1"/>
  <c r="R191" i="1" s="1"/>
  <c r="S191" i="1" s="1"/>
  <c r="Q183" i="1"/>
  <c r="R183" i="1" s="1"/>
  <c r="S183" i="1" s="1"/>
  <c r="Q163" i="1"/>
  <c r="R163" i="1" s="1"/>
  <c r="S163" i="1" s="1"/>
  <c r="Q159" i="1"/>
  <c r="R159" i="1" s="1"/>
  <c r="S159" i="1" s="1"/>
  <c r="Q155" i="1"/>
  <c r="R155" i="1" s="1"/>
  <c r="S155" i="1" s="1"/>
  <c r="Q147" i="1"/>
  <c r="R147" i="1" s="1"/>
  <c r="Q135" i="1"/>
  <c r="R135" i="1" s="1"/>
  <c r="S135" i="1" s="1"/>
  <c r="Q123" i="1"/>
  <c r="R123" i="1" s="1"/>
  <c r="S123" i="1" s="1"/>
  <c r="Q115" i="1"/>
  <c r="R115" i="1" s="1"/>
  <c r="S115" i="1" s="1"/>
  <c r="Q111" i="1"/>
  <c r="R111" i="1" s="1"/>
  <c r="Q103" i="1"/>
  <c r="R103" i="1" s="1"/>
  <c r="S103" i="1" s="1"/>
  <c r="Q83" i="1"/>
  <c r="R83" i="1" s="1"/>
  <c r="S83" i="1" s="1"/>
  <c r="Q79" i="1"/>
  <c r="R79" i="1" s="1"/>
  <c r="S79" i="1" s="1"/>
  <c r="Q75" i="1"/>
  <c r="R75" i="1" s="1"/>
  <c r="S75" i="1" s="1"/>
  <c r="Q59" i="1"/>
  <c r="R59" i="1" s="1"/>
  <c r="S59" i="1" s="1"/>
  <c r="Q51" i="1"/>
  <c r="R51" i="1" s="1"/>
  <c r="S51" i="1" s="1"/>
  <c r="Q47" i="1"/>
  <c r="R47" i="1" s="1"/>
  <c r="Q31" i="1"/>
  <c r="R31" i="1" s="1"/>
  <c r="S31" i="1" s="1"/>
  <c r="Q27" i="1"/>
  <c r="R27" i="1" s="1"/>
  <c r="S27" i="1" s="1"/>
  <c r="Q19" i="1"/>
  <c r="R19" i="1" s="1"/>
  <c r="S19" i="1" s="1"/>
  <c r="Q15" i="1"/>
  <c r="R15" i="1" s="1"/>
  <c r="S15" i="1" s="1"/>
  <c r="Q582" i="1"/>
  <c r="R582" i="1" s="1"/>
  <c r="S582" i="1" s="1"/>
  <c r="Q577" i="1"/>
  <c r="R577" i="1" s="1"/>
  <c r="S577" i="1" s="1"/>
  <c r="Q537" i="1"/>
  <c r="R537" i="1" s="1"/>
  <c r="S537" i="1" s="1"/>
  <c r="Q525" i="1"/>
  <c r="R525" i="1" s="1"/>
  <c r="S525" i="1" s="1"/>
  <c r="Q468" i="1"/>
  <c r="R468" i="1" s="1"/>
  <c r="S468" i="1" s="1"/>
  <c r="Q345" i="1"/>
  <c r="R345" i="1" s="1"/>
  <c r="S345" i="1" s="1"/>
  <c r="Q313" i="1"/>
  <c r="R313" i="1" s="1"/>
  <c r="S313" i="1" s="1"/>
  <c r="Q289" i="1"/>
  <c r="R289" i="1" s="1"/>
  <c r="S289" i="1" s="1"/>
  <c r="Q253" i="1"/>
  <c r="R253" i="1" s="1"/>
  <c r="S253" i="1" s="1"/>
  <c r="Q205" i="1"/>
  <c r="R205" i="1" s="1"/>
  <c r="S205" i="1" s="1"/>
  <c r="Q197" i="1"/>
  <c r="R197" i="1" s="1"/>
  <c r="S197" i="1" s="1"/>
  <c r="Q136" i="1"/>
  <c r="R136" i="1" s="1"/>
  <c r="S136" i="1" s="1"/>
  <c r="Q72" i="1"/>
  <c r="R72" i="1" s="1"/>
  <c r="S72" i="1" s="1"/>
  <c r="Q57" i="1"/>
  <c r="R57" i="1" s="1"/>
  <c r="S57" i="1" s="1"/>
  <c r="Q41" i="1"/>
  <c r="R41" i="1" s="1"/>
  <c r="S41" i="1" s="1"/>
  <c r="Q6" i="1"/>
  <c r="R6" i="1" s="1"/>
  <c r="S6" i="1" s="1"/>
  <c r="Q46" i="1"/>
  <c r="R46" i="1" s="1"/>
  <c r="S46" i="1" s="1"/>
  <c r="Q14" i="1"/>
  <c r="R14" i="1" s="1"/>
  <c r="S14" i="1" s="1"/>
  <c r="Q642" i="1"/>
  <c r="R642" i="1" s="1"/>
  <c r="S642" i="1" s="1"/>
  <c r="Q584" i="1"/>
  <c r="R584" i="1" s="1"/>
  <c r="S584" i="1" s="1"/>
  <c r="Q578" i="1"/>
  <c r="R578" i="1" s="1"/>
  <c r="Q572" i="1"/>
  <c r="R572" i="1" s="1"/>
  <c r="S572" i="1" s="1"/>
  <c r="Q552" i="1"/>
  <c r="R552" i="1" s="1"/>
  <c r="S552" i="1" s="1"/>
  <c r="Q508" i="1"/>
  <c r="R508" i="1" s="1"/>
  <c r="S508" i="1" s="1"/>
  <c r="Q482" i="1"/>
  <c r="R482" i="1" s="1"/>
  <c r="S482" i="1" s="1"/>
  <c r="Q444" i="1"/>
  <c r="R444" i="1" s="1"/>
  <c r="S444" i="1" s="1"/>
  <c r="Q424" i="1"/>
  <c r="R424" i="1" s="1"/>
  <c r="S424" i="1" s="1"/>
  <c r="Q418" i="1"/>
  <c r="R418" i="1" s="1"/>
  <c r="S418" i="1" s="1"/>
  <c r="Q380" i="1"/>
  <c r="R380" i="1" s="1"/>
  <c r="Q364" i="1"/>
  <c r="R364" i="1" s="1"/>
  <c r="S364" i="1" s="1"/>
  <c r="Q348" i="1"/>
  <c r="R348" i="1" s="1"/>
  <c r="S348" i="1" s="1"/>
  <c r="Q340" i="1"/>
  <c r="R340" i="1" s="1"/>
  <c r="S340" i="1" s="1"/>
  <c r="Q332" i="1"/>
  <c r="R332" i="1" s="1"/>
  <c r="S332" i="1" s="1"/>
  <c r="Q308" i="1"/>
  <c r="R308" i="1" s="1"/>
  <c r="S308" i="1" s="1"/>
  <c r="Q300" i="1"/>
  <c r="R300" i="1" s="1"/>
  <c r="S300" i="1" s="1"/>
  <c r="Q256" i="1"/>
  <c r="R256" i="1" s="1"/>
  <c r="S256" i="1" s="1"/>
  <c r="Q240" i="1"/>
  <c r="R240" i="1" s="1"/>
  <c r="Q224" i="1"/>
  <c r="R224" i="1" s="1"/>
  <c r="S224" i="1" s="1"/>
  <c r="Q200" i="1"/>
  <c r="R200" i="1" s="1"/>
  <c r="S200" i="1" s="1"/>
  <c r="Q184" i="1"/>
  <c r="R184" i="1" s="1"/>
  <c r="S184" i="1" s="1"/>
  <c r="Q176" i="1"/>
  <c r="R176" i="1" s="1"/>
  <c r="S176" i="1" s="1"/>
  <c r="Q169" i="1"/>
  <c r="R169" i="1" s="1"/>
  <c r="S169" i="1" s="1"/>
  <c r="Q161" i="1"/>
  <c r="R161" i="1" s="1"/>
  <c r="S161" i="1" s="1"/>
  <c r="Q121" i="1"/>
  <c r="R121" i="1" s="1"/>
  <c r="S121" i="1" s="1"/>
  <c r="Q113" i="1"/>
  <c r="R113" i="1" s="1"/>
  <c r="S113" i="1" s="1"/>
  <c r="Q105" i="1"/>
  <c r="R105" i="1" s="1"/>
  <c r="S105" i="1" s="1"/>
  <c r="Q97" i="1"/>
  <c r="R97" i="1" s="1"/>
  <c r="S97" i="1" s="1"/>
  <c r="Q60" i="1"/>
  <c r="R60" i="1" s="1"/>
  <c r="S60" i="1" s="1"/>
  <c r="Q44" i="1"/>
  <c r="R44" i="1" s="1"/>
  <c r="S44" i="1" s="1"/>
  <c r="Q36" i="1"/>
  <c r="R36" i="1" s="1"/>
  <c r="S36" i="1" s="1"/>
  <c r="Q21" i="1"/>
  <c r="R21" i="1" s="1"/>
  <c r="S21" i="1" s="1"/>
  <c r="Q16" i="1"/>
  <c r="R16" i="1" s="1"/>
  <c r="S16" i="1" s="1"/>
  <c r="Q266" i="1"/>
  <c r="R266" i="1" s="1"/>
  <c r="S266" i="1" s="1"/>
  <c r="Q138" i="1"/>
  <c r="R138" i="1" s="1"/>
  <c r="S138" i="1" s="1"/>
  <c r="Q570" i="1"/>
  <c r="R570" i="1" s="1"/>
  <c r="S570" i="1" s="1"/>
  <c r="Q378" i="1"/>
  <c r="R378" i="1" s="1"/>
  <c r="S378" i="1" s="1"/>
  <c r="Q214" i="1"/>
  <c r="R214" i="1" s="1"/>
  <c r="S214" i="1" s="1"/>
  <c r="Q126" i="1"/>
  <c r="R126" i="1" s="1"/>
  <c r="S126" i="1" s="1"/>
  <c r="Q26" i="1"/>
  <c r="R26" i="1" s="1"/>
  <c r="S26" i="1" s="1"/>
  <c r="Q526" i="1"/>
  <c r="R526" i="1" s="1"/>
  <c r="Q474" i="1"/>
  <c r="R474" i="1" s="1"/>
  <c r="S474" i="1" s="1"/>
  <c r="Q442" i="1"/>
  <c r="R442" i="1" s="1"/>
  <c r="S442" i="1" s="1"/>
  <c r="Q362" i="1"/>
  <c r="R362" i="1" s="1"/>
  <c r="S362" i="1" s="1"/>
  <c r="Q346" i="1"/>
  <c r="R346" i="1" s="1"/>
  <c r="S346" i="1" s="1"/>
  <c r="Q334" i="1"/>
  <c r="R334" i="1" s="1"/>
  <c r="S334" i="1" s="1"/>
  <c r="Q298" i="1"/>
  <c r="R298" i="1" s="1"/>
  <c r="S298" i="1" s="1"/>
  <c r="Q274" i="1"/>
  <c r="R274" i="1" s="1"/>
  <c r="S274" i="1" s="1"/>
  <c r="Q122" i="1"/>
  <c r="R122" i="1" s="1"/>
  <c r="S122" i="1" s="1"/>
  <c r="Q98" i="1"/>
  <c r="R98" i="1" s="1"/>
  <c r="S98" i="1" s="1"/>
  <c r="Q38" i="1"/>
  <c r="R38" i="1" s="1"/>
  <c r="S38" i="1" s="1"/>
  <c r="Q34" i="1"/>
  <c r="R34" i="1" s="1"/>
  <c r="S34" i="1" s="1"/>
  <c r="Q10" i="1"/>
  <c r="R10" i="1" s="1"/>
  <c r="S10" i="1" s="1"/>
  <c r="Q688" i="1"/>
  <c r="R688" i="1" s="1"/>
  <c r="S688" i="1" s="1"/>
  <c r="Q680" i="1"/>
  <c r="Q668" i="1"/>
  <c r="R668" i="1" s="1"/>
  <c r="S668" i="1" s="1"/>
  <c r="Q656" i="1"/>
  <c r="R656" i="1" s="1"/>
  <c r="S656" i="1" s="1"/>
  <c r="Q648" i="1"/>
  <c r="R648" i="1" s="1"/>
  <c r="S648" i="1" s="1"/>
  <c r="Q636" i="1"/>
  <c r="R636" i="1" s="1"/>
  <c r="S636" i="1" s="1"/>
  <c r="Q624" i="1"/>
  <c r="R624" i="1" s="1"/>
  <c r="S624" i="1" s="1"/>
  <c r="Q616" i="1"/>
  <c r="R616" i="1" s="1"/>
  <c r="S616" i="1" s="1"/>
  <c r="Q604" i="1"/>
  <c r="Q67" i="1"/>
  <c r="Q399" i="1"/>
  <c r="Q675" i="1"/>
  <c r="Q651" i="1"/>
  <c r="Q483" i="1"/>
  <c r="R483" i="1" s="1"/>
  <c r="S483" i="1" s="1"/>
  <c r="Q339" i="1"/>
  <c r="R339" i="1" s="1"/>
  <c r="S339" i="1" s="1"/>
  <c r="Q187" i="1"/>
  <c r="Q95" i="1"/>
  <c r="R95" i="1" s="1"/>
  <c r="S95" i="1" s="1"/>
  <c r="Q700" i="1"/>
  <c r="Q692" i="1"/>
  <c r="Q660" i="1"/>
  <c r="R660" i="1" s="1"/>
  <c r="S660" i="1" s="1"/>
  <c r="Q628" i="1"/>
  <c r="R628" i="1" s="1"/>
  <c r="S628" i="1" s="1"/>
  <c r="Q596" i="1"/>
  <c r="Q175" i="1"/>
  <c r="Q627" i="1"/>
  <c r="Q631" i="1"/>
  <c r="Q583" i="1"/>
  <c r="Q419" i="1"/>
  <c r="Q347" i="1"/>
  <c r="Q227" i="1"/>
  <c r="Q195" i="1"/>
  <c r="Q107" i="1"/>
  <c r="Q71" i="1"/>
  <c r="Q39" i="1"/>
  <c r="Q11" i="1"/>
  <c r="Q523" i="1"/>
  <c r="R523" i="1" s="1"/>
  <c r="S523" i="1" s="1"/>
  <c r="Q7" i="1"/>
  <c r="R7" i="1" s="1"/>
  <c r="S7" i="1" s="1"/>
  <c r="Q141" i="1"/>
  <c r="Q5" i="1"/>
  <c r="R5" i="1" s="1"/>
  <c r="S5" i="1" s="1"/>
  <c r="Q453" i="1"/>
  <c r="Q157" i="1"/>
  <c r="Q61" i="1"/>
  <c r="Q116" i="1"/>
  <c r="Q273" i="1"/>
  <c r="R273" i="1" s="1"/>
  <c r="S273" i="1" s="1"/>
  <c r="Q4" i="1"/>
  <c r="Q213" i="1"/>
  <c r="Q117" i="1"/>
  <c r="Q272" i="1"/>
  <c r="Q269" i="1"/>
  <c r="R269" i="1" s="1"/>
  <c r="S269" i="1" s="1"/>
  <c r="Q84" i="1"/>
  <c r="R84" i="1" s="1"/>
  <c r="S84" i="1" s="1"/>
  <c r="S414" i="1" l="1"/>
  <c r="S388" i="1"/>
  <c r="S684" i="1"/>
  <c r="S3" i="1"/>
  <c r="S148" i="1"/>
  <c r="S221" i="1"/>
  <c r="S602" i="1"/>
  <c r="S550" i="1"/>
  <c r="S160" i="1"/>
  <c r="S578" i="1"/>
  <c r="S147" i="1"/>
  <c r="S479" i="1"/>
  <c r="S286" i="1"/>
  <c r="S314" i="1"/>
  <c r="S268" i="1"/>
  <c r="S500" i="1"/>
  <c r="S101" i="1"/>
  <c r="S229" i="1"/>
  <c r="S246" i="1"/>
  <c r="S73" i="1"/>
  <c r="S240" i="1"/>
  <c r="S380" i="1"/>
  <c r="S111" i="1"/>
  <c r="S526" i="1"/>
  <c r="S47" i="1"/>
  <c r="S279" i="1"/>
  <c r="S411" i="1"/>
  <c r="S575" i="1"/>
  <c r="S671" i="1"/>
  <c r="S695" i="1"/>
  <c r="S74" i="1"/>
  <c r="S509" i="1"/>
  <c r="S42" i="1"/>
  <c r="S18" i="1"/>
  <c r="S396" i="1"/>
  <c r="S476" i="1"/>
  <c r="S486" i="1"/>
  <c r="S556" i="1"/>
  <c r="S551" i="1"/>
  <c r="S611" i="1"/>
  <c r="S342" i="1"/>
  <c r="S574" i="1"/>
  <c r="S96" i="1"/>
  <c r="S679" i="1"/>
  <c r="S352" i="1"/>
  <c r="S641" i="1"/>
  <c r="S361" i="1"/>
  <c r="S377" i="1"/>
  <c r="S45" i="1"/>
  <c r="S490" i="1"/>
  <c r="S633" i="1"/>
  <c r="S699" i="1"/>
  <c r="R703" i="1"/>
  <c r="S701" i="1"/>
</calcChain>
</file>

<file path=xl/sharedStrings.xml><?xml version="1.0" encoding="utf-8"?>
<sst xmlns="http://schemas.openxmlformats.org/spreadsheetml/2006/main" count="6383" uniqueCount="1761">
  <si>
    <t>Booking ID</t>
  </si>
  <si>
    <t>Customer Name</t>
  </si>
  <si>
    <t>Age</t>
  </si>
  <si>
    <t>Gender</t>
  </si>
  <si>
    <t>Package Category</t>
  </si>
  <si>
    <t>Destination</t>
  </si>
  <si>
    <t>Booking Date</t>
  </si>
  <si>
    <t>Travel Start Date</t>
  </si>
  <si>
    <t>Travel End Date</t>
  </si>
  <si>
    <t>No. of Days</t>
  </si>
  <si>
    <t>Price</t>
  </si>
  <si>
    <t>Quantity</t>
  </si>
  <si>
    <t>Total Amount</t>
  </si>
  <si>
    <t>Status</t>
  </si>
  <si>
    <t>Discount %</t>
  </si>
  <si>
    <t>Discount Amount</t>
  </si>
  <si>
    <t>Net Revenue</t>
  </si>
  <si>
    <t>Month</t>
  </si>
  <si>
    <t>Year</t>
  </si>
  <si>
    <t>Age Group</t>
  </si>
  <si>
    <t>B001</t>
  </si>
  <si>
    <t>B002</t>
  </si>
  <si>
    <t>B003</t>
  </si>
  <si>
    <t>B004</t>
  </si>
  <si>
    <t>B005</t>
  </si>
  <si>
    <t>B006</t>
  </si>
  <si>
    <t>B007</t>
  </si>
  <si>
    <t>B008</t>
  </si>
  <si>
    <t>B009</t>
  </si>
  <si>
    <t>B010</t>
  </si>
  <si>
    <t>B011</t>
  </si>
  <si>
    <t>B012</t>
  </si>
  <si>
    <t>B013</t>
  </si>
  <si>
    <t>B014</t>
  </si>
  <si>
    <t>B015</t>
  </si>
  <si>
    <t>B016</t>
  </si>
  <si>
    <t>B017</t>
  </si>
  <si>
    <t>B018</t>
  </si>
  <si>
    <t>B019</t>
  </si>
  <si>
    <t>B020</t>
  </si>
  <si>
    <t>B021</t>
  </si>
  <si>
    <t>B022</t>
  </si>
  <si>
    <t>B023</t>
  </si>
  <si>
    <t>B024</t>
  </si>
  <si>
    <t>B025</t>
  </si>
  <si>
    <t>B026</t>
  </si>
  <si>
    <t>B027</t>
  </si>
  <si>
    <t>B028</t>
  </si>
  <si>
    <t>B029</t>
  </si>
  <si>
    <t>B030</t>
  </si>
  <si>
    <t>B031</t>
  </si>
  <si>
    <t>B032</t>
  </si>
  <si>
    <t>B033</t>
  </si>
  <si>
    <t>B034</t>
  </si>
  <si>
    <t>B035</t>
  </si>
  <si>
    <t>B036</t>
  </si>
  <si>
    <t>B037</t>
  </si>
  <si>
    <t>B038</t>
  </si>
  <si>
    <t>B039</t>
  </si>
  <si>
    <t>B040</t>
  </si>
  <si>
    <t>B041</t>
  </si>
  <si>
    <t>B042</t>
  </si>
  <si>
    <t>B043</t>
  </si>
  <si>
    <t>B044</t>
  </si>
  <si>
    <t>B045</t>
  </si>
  <si>
    <t>B046</t>
  </si>
  <si>
    <t>B047</t>
  </si>
  <si>
    <t>B048</t>
  </si>
  <si>
    <t>B049</t>
  </si>
  <si>
    <t>B050</t>
  </si>
  <si>
    <t>B051</t>
  </si>
  <si>
    <t>B052</t>
  </si>
  <si>
    <t>B053</t>
  </si>
  <si>
    <t>B054</t>
  </si>
  <si>
    <t>B055</t>
  </si>
  <si>
    <t>B056</t>
  </si>
  <si>
    <t>B057</t>
  </si>
  <si>
    <t>B058</t>
  </si>
  <si>
    <t>B059</t>
  </si>
  <si>
    <t>B060</t>
  </si>
  <si>
    <t>B061</t>
  </si>
  <si>
    <t>B062</t>
  </si>
  <si>
    <t>B063</t>
  </si>
  <si>
    <t>B064</t>
  </si>
  <si>
    <t>B065</t>
  </si>
  <si>
    <t>B066</t>
  </si>
  <si>
    <t>B067</t>
  </si>
  <si>
    <t>B068</t>
  </si>
  <si>
    <t>B069</t>
  </si>
  <si>
    <t>B070</t>
  </si>
  <si>
    <t>B071</t>
  </si>
  <si>
    <t>B072</t>
  </si>
  <si>
    <t>B073</t>
  </si>
  <si>
    <t>B074</t>
  </si>
  <si>
    <t>B075</t>
  </si>
  <si>
    <t>B076</t>
  </si>
  <si>
    <t>B077</t>
  </si>
  <si>
    <t>B078</t>
  </si>
  <si>
    <t>B079</t>
  </si>
  <si>
    <t>B080</t>
  </si>
  <si>
    <t>B081</t>
  </si>
  <si>
    <t>B082</t>
  </si>
  <si>
    <t>B083</t>
  </si>
  <si>
    <t>B084</t>
  </si>
  <si>
    <t>B085</t>
  </si>
  <si>
    <t>B086</t>
  </si>
  <si>
    <t>B087</t>
  </si>
  <si>
    <t>B088</t>
  </si>
  <si>
    <t>B089</t>
  </si>
  <si>
    <t>B090</t>
  </si>
  <si>
    <t>B091</t>
  </si>
  <si>
    <t>B092</t>
  </si>
  <si>
    <t>B093</t>
  </si>
  <si>
    <t>B094</t>
  </si>
  <si>
    <t>B095</t>
  </si>
  <si>
    <t>B096</t>
  </si>
  <si>
    <t>B097</t>
  </si>
  <si>
    <t>B098</t>
  </si>
  <si>
    <t>B099</t>
  </si>
  <si>
    <t>B100</t>
  </si>
  <si>
    <t>B101</t>
  </si>
  <si>
    <t>B102</t>
  </si>
  <si>
    <t>B103</t>
  </si>
  <si>
    <t>B104</t>
  </si>
  <si>
    <t>B105</t>
  </si>
  <si>
    <t>B106</t>
  </si>
  <si>
    <t>B107</t>
  </si>
  <si>
    <t>B108</t>
  </si>
  <si>
    <t>B109</t>
  </si>
  <si>
    <t>B110</t>
  </si>
  <si>
    <t>B111</t>
  </si>
  <si>
    <t>B112</t>
  </si>
  <si>
    <t>B113</t>
  </si>
  <si>
    <t>B114</t>
  </si>
  <si>
    <t>B115</t>
  </si>
  <si>
    <t>B116</t>
  </si>
  <si>
    <t>B117</t>
  </si>
  <si>
    <t>B118</t>
  </si>
  <si>
    <t>B119</t>
  </si>
  <si>
    <t>B120</t>
  </si>
  <si>
    <t>B121</t>
  </si>
  <si>
    <t>B122</t>
  </si>
  <si>
    <t>B123</t>
  </si>
  <si>
    <t>B124</t>
  </si>
  <si>
    <t>B125</t>
  </si>
  <si>
    <t>B126</t>
  </si>
  <si>
    <t>B127</t>
  </si>
  <si>
    <t>B128</t>
  </si>
  <si>
    <t>B129</t>
  </si>
  <si>
    <t>B130</t>
  </si>
  <si>
    <t>B131</t>
  </si>
  <si>
    <t>B132</t>
  </si>
  <si>
    <t>B133</t>
  </si>
  <si>
    <t>B134</t>
  </si>
  <si>
    <t>B135</t>
  </si>
  <si>
    <t>B136</t>
  </si>
  <si>
    <t>B137</t>
  </si>
  <si>
    <t>B138</t>
  </si>
  <si>
    <t>B139</t>
  </si>
  <si>
    <t>B140</t>
  </si>
  <si>
    <t>B141</t>
  </si>
  <si>
    <t>B142</t>
  </si>
  <si>
    <t>B143</t>
  </si>
  <si>
    <t>B144</t>
  </si>
  <si>
    <t>B145</t>
  </si>
  <si>
    <t>B146</t>
  </si>
  <si>
    <t>B147</t>
  </si>
  <si>
    <t>B148</t>
  </si>
  <si>
    <t>B149</t>
  </si>
  <si>
    <t>B150</t>
  </si>
  <si>
    <t>B151</t>
  </si>
  <si>
    <t>B152</t>
  </si>
  <si>
    <t>B153</t>
  </si>
  <si>
    <t>B154</t>
  </si>
  <si>
    <t>B155</t>
  </si>
  <si>
    <t>B156</t>
  </si>
  <si>
    <t>B157</t>
  </si>
  <si>
    <t>B158</t>
  </si>
  <si>
    <t>B159</t>
  </si>
  <si>
    <t>B160</t>
  </si>
  <si>
    <t>B161</t>
  </si>
  <si>
    <t>B162</t>
  </si>
  <si>
    <t>B163</t>
  </si>
  <si>
    <t>B164</t>
  </si>
  <si>
    <t>B165</t>
  </si>
  <si>
    <t>B166</t>
  </si>
  <si>
    <t>B167</t>
  </si>
  <si>
    <t>B168</t>
  </si>
  <si>
    <t>B169</t>
  </si>
  <si>
    <t>B170</t>
  </si>
  <si>
    <t>B171</t>
  </si>
  <si>
    <t>B172</t>
  </si>
  <si>
    <t>B173</t>
  </si>
  <si>
    <t>B174</t>
  </si>
  <si>
    <t>B175</t>
  </si>
  <si>
    <t>B176</t>
  </si>
  <si>
    <t>B177</t>
  </si>
  <si>
    <t>B178</t>
  </si>
  <si>
    <t>B179</t>
  </si>
  <si>
    <t>B180</t>
  </si>
  <si>
    <t>B181</t>
  </si>
  <si>
    <t>B182</t>
  </si>
  <si>
    <t>B183</t>
  </si>
  <si>
    <t>B184</t>
  </si>
  <si>
    <t>B185</t>
  </si>
  <si>
    <t>B186</t>
  </si>
  <si>
    <t>B187</t>
  </si>
  <si>
    <t>B188</t>
  </si>
  <si>
    <t>B189</t>
  </si>
  <si>
    <t>B190</t>
  </si>
  <si>
    <t>B191</t>
  </si>
  <si>
    <t>B192</t>
  </si>
  <si>
    <t>B193</t>
  </si>
  <si>
    <t>B194</t>
  </si>
  <si>
    <t>B195</t>
  </si>
  <si>
    <t>B196</t>
  </si>
  <si>
    <t>B197</t>
  </si>
  <si>
    <t>B198</t>
  </si>
  <si>
    <t>B199</t>
  </si>
  <si>
    <t>B200</t>
  </si>
  <si>
    <t>B201</t>
  </si>
  <si>
    <t>B202</t>
  </si>
  <si>
    <t>B203</t>
  </si>
  <si>
    <t>B204</t>
  </si>
  <si>
    <t>B205</t>
  </si>
  <si>
    <t>B206</t>
  </si>
  <si>
    <t>B207</t>
  </si>
  <si>
    <t>B208</t>
  </si>
  <si>
    <t>B209</t>
  </si>
  <si>
    <t>B210</t>
  </si>
  <si>
    <t>B211</t>
  </si>
  <si>
    <t>B212</t>
  </si>
  <si>
    <t>B213</t>
  </si>
  <si>
    <t>B214</t>
  </si>
  <si>
    <t>B215</t>
  </si>
  <si>
    <t>B216</t>
  </si>
  <si>
    <t>B217</t>
  </si>
  <si>
    <t>B218</t>
  </si>
  <si>
    <t>B219</t>
  </si>
  <si>
    <t>B220</t>
  </si>
  <si>
    <t>B221</t>
  </si>
  <si>
    <t>B222</t>
  </si>
  <si>
    <t>B223</t>
  </si>
  <si>
    <t>B224</t>
  </si>
  <si>
    <t>B225</t>
  </si>
  <si>
    <t>B226</t>
  </si>
  <si>
    <t>B227</t>
  </si>
  <si>
    <t>B228</t>
  </si>
  <si>
    <t>B229</t>
  </si>
  <si>
    <t>B230</t>
  </si>
  <si>
    <t>B231</t>
  </si>
  <si>
    <t>B232</t>
  </si>
  <si>
    <t>B233</t>
  </si>
  <si>
    <t>B234</t>
  </si>
  <si>
    <t>B235</t>
  </si>
  <si>
    <t>B236</t>
  </si>
  <si>
    <t>B237</t>
  </si>
  <si>
    <t>B238</t>
  </si>
  <si>
    <t>B239</t>
  </si>
  <si>
    <t>B240</t>
  </si>
  <si>
    <t>B241</t>
  </si>
  <si>
    <t>B242</t>
  </si>
  <si>
    <t>B243</t>
  </si>
  <si>
    <t>B244</t>
  </si>
  <si>
    <t>B245</t>
  </si>
  <si>
    <t>B246</t>
  </si>
  <si>
    <t>B247</t>
  </si>
  <si>
    <t>B248</t>
  </si>
  <si>
    <t>B249</t>
  </si>
  <si>
    <t>B250</t>
  </si>
  <si>
    <t>B251</t>
  </si>
  <si>
    <t>B252</t>
  </si>
  <si>
    <t>B253</t>
  </si>
  <si>
    <t>B254</t>
  </si>
  <si>
    <t>B255</t>
  </si>
  <si>
    <t>B256</t>
  </si>
  <si>
    <t>B257</t>
  </si>
  <si>
    <t>B258</t>
  </si>
  <si>
    <t>B259</t>
  </si>
  <si>
    <t>B260</t>
  </si>
  <si>
    <t>B261</t>
  </si>
  <si>
    <t>B262</t>
  </si>
  <si>
    <t>B263</t>
  </si>
  <si>
    <t>B264</t>
  </si>
  <si>
    <t>B265</t>
  </si>
  <si>
    <t>B266</t>
  </si>
  <si>
    <t>B267</t>
  </si>
  <si>
    <t>B268</t>
  </si>
  <si>
    <t>B269</t>
  </si>
  <si>
    <t>B270</t>
  </si>
  <si>
    <t>B271</t>
  </si>
  <si>
    <t>B272</t>
  </si>
  <si>
    <t>B273</t>
  </si>
  <si>
    <t>B274</t>
  </si>
  <si>
    <t>B275</t>
  </si>
  <si>
    <t>B276</t>
  </si>
  <si>
    <t>B277</t>
  </si>
  <si>
    <t>B278</t>
  </si>
  <si>
    <t>B279</t>
  </si>
  <si>
    <t>B280</t>
  </si>
  <si>
    <t>B281</t>
  </si>
  <si>
    <t>B282</t>
  </si>
  <si>
    <t>B283</t>
  </si>
  <si>
    <t>B284</t>
  </si>
  <si>
    <t>B285</t>
  </si>
  <si>
    <t>B286</t>
  </si>
  <si>
    <t>B287</t>
  </si>
  <si>
    <t>B288</t>
  </si>
  <si>
    <t>B289</t>
  </si>
  <si>
    <t>B290</t>
  </si>
  <si>
    <t>B291</t>
  </si>
  <si>
    <t>B292</t>
  </si>
  <si>
    <t>B293</t>
  </si>
  <si>
    <t>B294</t>
  </si>
  <si>
    <t>B295</t>
  </si>
  <si>
    <t>B296</t>
  </si>
  <si>
    <t>B297</t>
  </si>
  <si>
    <t>B298</t>
  </si>
  <si>
    <t>B299</t>
  </si>
  <si>
    <t>B300</t>
  </si>
  <si>
    <t>B301</t>
  </si>
  <si>
    <t>B302</t>
  </si>
  <si>
    <t>B303</t>
  </si>
  <si>
    <t>B304</t>
  </si>
  <si>
    <t>B305</t>
  </si>
  <si>
    <t>B306</t>
  </si>
  <si>
    <t>B307</t>
  </si>
  <si>
    <t>B308</t>
  </si>
  <si>
    <t>B309</t>
  </si>
  <si>
    <t>B310</t>
  </si>
  <si>
    <t>B311</t>
  </si>
  <si>
    <t>B312</t>
  </si>
  <si>
    <t>B313</t>
  </si>
  <si>
    <t>B314</t>
  </si>
  <si>
    <t>B315</t>
  </si>
  <si>
    <t>B316</t>
  </si>
  <si>
    <t>B317</t>
  </si>
  <si>
    <t>B318</t>
  </si>
  <si>
    <t>B319</t>
  </si>
  <si>
    <t>B320</t>
  </si>
  <si>
    <t>B321</t>
  </si>
  <si>
    <t>B322</t>
  </si>
  <si>
    <t>B323</t>
  </si>
  <si>
    <t>B324</t>
  </si>
  <si>
    <t>B325</t>
  </si>
  <si>
    <t>B326</t>
  </si>
  <si>
    <t>B327</t>
  </si>
  <si>
    <t>B328</t>
  </si>
  <si>
    <t>B329</t>
  </si>
  <si>
    <t>B330</t>
  </si>
  <si>
    <t>B331</t>
  </si>
  <si>
    <t>B332</t>
  </si>
  <si>
    <t>B333</t>
  </si>
  <si>
    <t>B334</t>
  </si>
  <si>
    <t>B335</t>
  </si>
  <si>
    <t>B336</t>
  </si>
  <si>
    <t>B337</t>
  </si>
  <si>
    <t>B338</t>
  </si>
  <si>
    <t>B339</t>
  </si>
  <si>
    <t>B340</t>
  </si>
  <si>
    <t>B341</t>
  </si>
  <si>
    <t>B342</t>
  </si>
  <si>
    <t>B343</t>
  </si>
  <si>
    <t>B344</t>
  </si>
  <si>
    <t>B345</t>
  </si>
  <si>
    <t>B346</t>
  </si>
  <si>
    <t>B347</t>
  </si>
  <si>
    <t>B348</t>
  </si>
  <si>
    <t>B349</t>
  </si>
  <si>
    <t>B350</t>
  </si>
  <si>
    <t>B351</t>
  </si>
  <si>
    <t>B352</t>
  </si>
  <si>
    <t>B353</t>
  </si>
  <si>
    <t>B354</t>
  </si>
  <si>
    <t>B355</t>
  </si>
  <si>
    <t>B356</t>
  </si>
  <si>
    <t>B357</t>
  </si>
  <si>
    <t>B358</t>
  </si>
  <si>
    <t>B359</t>
  </si>
  <si>
    <t>B360</t>
  </si>
  <si>
    <t>B361</t>
  </si>
  <si>
    <t>B362</t>
  </si>
  <si>
    <t>B363</t>
  </si>
  <si>
    <t>B364</t>
  </si>
  <si>
    <t>B365</t>
  </si>
  <si>
    <t>B366</t>
  </si>
  <si>
    <t>B367</t>
  </si>
  <si>
    <t>B368</t>
  </si>
  <si>
    <t>B369</t>
  </si>
  <si>
    <t>B370</t>
  </si>
  <si>
    <t>B371</t>
  </si>
  <si>
    <t>B372</t>
  </si>
  <si>
    <t>B373</t>
  </si>
  <si>
    <t>B374</t>
  </si>
  <si>
    <t>B375</t>
  </si>
  <si>
    <t>B376</t>
  </si>
  <si>
    <t>B377</t>
  </si>
  <si>
    <t>B378</t>
  </si>
  <si>
    <t>B379</t>
  </si>
  <si>
    <t>B380</t>
  </si>
  <si>
    <t>B381</t>
  </si>
  <si>
    <t>B382</t>
  </si>
  <si>
    <t>B383</t>
  </si>
  <si>
    <t>B384</t>
  </si>
  <si>
    <t>B385</t>
  </si>
  <si>
    <t>B386</t>
  </si>
  <si>
    <t>B387</t>
  </si>
  <si>
    <t>B388</t>
  </si>
  <si>
    <t>B389</t>
  </si>
  <si>
    <t>B390</t>
  </si>
  <si>
    <t>B391</t>
  </si>
  <si>
    <t>B392</t>
  </si>
  <si>
    <t>B393</t>
  </si>
  <si>
    <t>B394</t>
  </si>
  <si>
    <t>B395</t>
  </si>
  <si>
    <t>B396</t>
  </si>
  <si>
    <t>B397</t>
  </si>
  <si>
    <t>B398</t>
  </si>
  <si>
    <t>B399</t>
  </si>
  <si>
    <t>B400</t>
  </si>
  <si>
    <t>B401</t>
  </si>
  <si>
    <t>B402</t>
  </si>
  <si>
    <t>B403</t>
  </si>
  <si>
    <t>B404</t>
  </si>
  <si>
    <t>B405</t>
  </si>
  <si>
    <t>B406</t>
  </si>
  <si>
    <t>B407</t>
  </si>
  <si>
    <t>B408</t>
  </si>
  <si>
    <t>B409</t>
  </si>
  <si>
    <t>B410</t>
  </si>
  <si>
    <t>B411</t>
  </si>
  <si>
    <t>B412</t>
  </si>
  <si>
    <t>B413</t>
  </si>
  <si>
    <t>B414</t>
  </si>
  <si>
    <t>B415</t>
  </si>
  <si>
    <t>B416</t>
  </si>
  <si>
    <t>B417</t>
  </si>
  <si>
    <t>B418</t>
  </si>
  <si>
    <t>B419</t>
  </si>
  <si>
    <t>B420</t>
  </si>
  <si>
    <t>B421</t>
  </si>
  <si>
    <t>B422</t>
  </si>
  <si>
    <t>B423</t>
  </si>
  <si>
    <t>B424</t>
  </si>
  <si>
    <t>B425</t>
  </si>
  <si>
    <t>B426</t>
  </si>
  <si>
    <t>B427</t>
  </si>
  <si>
    <t>B428</t>
  </si>
  <si>
    <t>B429</t>
  </si>
  <si>
    <t>B430</t>
  </si>
  <si>
    <t>B431</t>
  </si>
  <si>
    <t>B432</t>
  </si>
  <si>
    <t>B433</t>
  </si>
  <si>
    <t>B434</t>
  </si>
  <si>
    <t>B435</t>
  </si>
  <si>
    <t>B436</t>
  </si>
  <si>
    <t>B437</t>
  </si>
  <si>
    <t>B438</t>
  </si>
  <si>
    <t>B439</t>
  </si>
  <si>
    <t>B440</t>
  </si>
  <si>
    <t>B441</t>
  </si>
  <si>
    <t>B442</t>
  </si>
  <si>
    <t>B443</t>
  </si>
  <si>
    <t>B444</t>
  </si>
  <si>
    <t>B445</t>
  </si>
  <si>
    <t>B446</t>
  </si>
  <si>
    <t>B447</t>
  </si>
  <si>
    <t>B448</t>
  </si>
  <si>
    <t>B449</t>
  </si>
  <si>
    <t>B450</t>
  </si>
  <si>
    <t>B451</t>
  </si>
  <si>
    <t>B452</t>
  </si>
  <si>
    <t>B453</t>
  </si>
  <si>
    <t>B454</t>
  </si>
  <si>
    <t>B455</t>
  </si>
  <si>
    <t>B456</t>
  </si>
  <si>
    <t>B457</t>
  </si>
  <si>
    <t>B458</t>
  </si>
  <si>
    <t>B459</t>
  </si>
  <si>
    <t>B460</t>
  </si>
  <si>
    <t>B461</t>
  </si>
  <si>
    <t>B462</t>
  </si>
  <si>
    <t>B463</t>
  </si>
  <si>
    <t>B464</t>
  </si>
  <si>
    <t>B465</t>
  </si>
  <si>
    <t>B466</t>
  </si>
  <si>
    <t>B467</t>
  </si>
  <si>
    <t>B468</t>
  </si>
  <si>
    <t>B469</t>
  </si>
  <si>
    <t>B470</t>
  </si>
  <si>
    <t>B471</t>
  </si>
  <si>
    <t>B472</t>
  </si>
  <si>
    <t>B473</t>
  </si>
  <si>
    <t>B474</t>
  </si>
  <si>
    <t>B475</t>
  </si>
  <si>
    <t>B476</t>
  </si>
  <si>
    <t>B477</t>
  </si>
  <si>
    <t>B478</t>
  </si>
  <si>
    <t>B479</t>
  </si>
  <si>
    <t>B480</t>
  </si>
  <si>
    <t>B481</t>
  </si>
  <si>
    <t>B482</t>
  </si>
  <si>
    <t>B483</t>
  </si>
  <si>
    <t>B484</t>
  </si>
  <si>
    <t>B485</t>
  </si>
  <si>
    <t>B486</t>
  </si>
  <si>
    <t>B487</t>
  </si>
  <si>
    <t>B488</t>
  </si>
  <si>
    <t>B489</t>
  </si>
  <si>
    <t>B490</t>
  </si>
  <si>
    <t>B491</t>
  </si>
  <si>
    <t>B492</t>
  </si>
  <si>
    <t>B493</t>
  </si>
  <si>
    <t>B494</t>
  </si>
  <si>
    <t>B495</t>
  </si>
  <si>
    <t>B496</t>
  </si>
  <si>
    <t>B497</t>
  </si>
  <si>
    <t>B498</t>
  </si>
  <si>
    <t>B499</t>
  </si>
  <si>
    <t>B500</t>
  </si>
  <si>
    <t>B501</t>
  </si>
  <si>
    <t>B502</t>
  </si>
  <si>
    <t>B503</t>
  </si>
  <si>
    <t>B504</t>
  </si>
  <si>
    <t>B505</t>
  </si>
  <si>
    <t>B506</t>
  </si>
  <si>
    <t>B507</t>
  </si>
  <si>
    <t>B508</t>
  </si>
  <si>
    <t>B509</t>
  </si>
  <si>
    <t>B510</t>
  </si>
  <si>
    <t>B511</t>
  </si>
  <si>
    <t>B512</t>
  </si>
  <si>
    <t>B513</t>
  </si>
  <si>
    <t>B514</t>
  </si>
  <si>
    <t>B515</t>
  </si>
  <si>
    <t>B516</t>
  </si>
  <si>
    <t>B517</t>
  </si>
  <si>
    <t>B518</t>
  </si>
  <si>
    <t>B519</t>
  </si>
  <si>
    <t>B520</t>
  </si>
  <si>
    <t>B521</t>
  </si>
  <si>
    <t>B522</t>
  </si>
  <si>
    <t>B523</t>
  </si>
  <si>
    <t>B524</t>
  </si>
  <si>
    <t>B525</t>
  </si>
  <si>
    <t>B526</t>
  </si>
  <si>
    <t>B527</t>
  </si>
  <si>
    <t>B528</t>
  </si>
  <si>
    <t>B529</t>
  </si>
  <si>
    <t>B530</t>
  </si>
  <si>
    <t>B531</t>
  </si>
  <si>
    <t>B532</t>
  </si>
  <si>
    <t>B533</t>
  </si>
  <si>
    <t>B534</t>
  </si>
  <si>
    <t>B535</t>
  </si>
  <si>
    <t>B536</t>
  </si>
  <si>
    <t>B537</t>
  </si>
  <si>
    <t>B538</t>
  </si>
  <si>
    <t>B539</t>
  </si>
  <si>
    <t>B540</t>
  </si>
  <si>
    <t>B541</t>
  </si>
  <si>
    <t>B542</t>
  </si>
  <si>
    <t>B543</t>
  </si>
  <si>
    <t>B544</t>
  </si>
  <si>
    <t>B545</t>
  </si>
  <si>
    <t>B546</t>
  </si>
  <si>
    <t>B547</t>
  </si>
  <si>
    <t>B548</t>
  </si>
  <si>
    <t>B549</t>
  </si>
  <si>
    <t>B550</t>
  </si>
  <si>
    <t>B551</t>
  </si>
  <si>
    <t>B552</t>
  </si>
  <si>
    <t>B553</t>
  </si>
  <si>
    <t>B554</t>
  </si>
  <si>
    <t>B555</t>
  </si>
  <si>
    <t>B556</t>
  </si>
  <si>
    <t>B557</t>
  </si>
  <si>
    <t>B558</t>
  </si>
  <si>
    <t>B559</t>
  </si>
  <si>
    <t>B560</t>
  </si>
  <si>
    <t>B561</t>
  </si>
  <si>
    <t>B562</t>
  </si>
  <si>
    <t>B563</t>
  </si>
  <si>
    <t>B564</t>
  </si>
  <si>
    <t>B565</t>
  </si>
  <si>
    <t>B566</t>
  </si>
  <si>
    <t>B567</t>
  </si>
  <si>
    <t>B568</t>
  </si>
  <si>
    <t>B569</t>
  </si>
  <si>
    <t>B570</t>
  </si>
  <si>
    <t>B571</t>
  </si>
  <si>
    <t>B572</t>
  </si>
  <si>
    <t>B573</t>
  </si>
  <si>
    <t>B574</t>
  </si>
  <si>
    <t>B575</t>
  </si>
  <si>
    <t>B576</t>
  </si>
  <si>
    <t>B577</t>
  </si>
  <si>
    <t>B578</t>
  </si>
  <si>
    <t>B579</t>
  </si>
  <si>
    <t>B580</t>
  </si>
  <si>
    <t>B581</t>
  </si>
  <si>
    <t>B582</t>
  </si>
  <si>
    <t>B583</t>
  </si>
  <si>
    <t>B584</t>
  </si>
  <si>
    <t>B585</t>
  </si>
  <si>
    <t>B586</t>
  </si>
  <si>
    <t>B587</t>
  </si>
  <si>
    <t>B588</t>
  </si>
  <si>
    <t>B589</t>
  </si>
  <si>
    <t>B590</t>
  </si>
  <si>
    <t>B591</t>
  </si>
  <si>
    <t>B592</t>
  </si>
  <si>
    <t>B593</t>
  </si>
  <si>
    <t>B594</t>
  </si>
  <si>
    <t>B595</t>
  </si>
  <si>
    <t>B596</t>
  </si>
  <si>
    <t>B597</t>
  </si>
  <si>
    <t>B598</t>
  </si>
  <si>
    <t>B599</t>
  </si>
  <si>
    <t>B600</t>
  </si>
  <si>
    <t>B601</t>
  </si>
  <si>
    <t>B602</t>
  </si>
  <si>
    <t>B603</t>
  </si>
  <si>
    <t>B604</t>
  </si>
  <si>
    <t>B605</t>
  </si>
  <si>
    <t>B606</t>
  </si>
  <si>
    <t>B607</t>
  </si>
  <si>
    <t>B608</t>
  </si>
  <si>
    <t>B609</t>
  </si>
  <si>
    <t>B610</t>
  </si>
  <si>
    <t>B611</t>
  </si>
  <si>
    <t>B612</t>
  </si>
  <si>
    <t>B613</t>
  </si>
  <si>
    <t>B614</t>
  </si>
  <si>
    <t>B615</t>
  </si>
  <si>
    <t>B616</t>
  </si>
  <si>
    <t>B617</t>
  </si>
  <si>
    <t>B618</t>
  </si>
  <si>
    <t>B619</t>
  </si>
  <si>
    <t>B620</t>
  </si>
  <si>
    <t>B621</t>
  </si>
  <si>
    <t>B622</t>
  </si>
  <si>
    <t>B623</t>
  </si>
  <si>
    <t>B624</t>
  </si>
  <si>
    <t>B625</t>
  </si>
  <si>
    <t>B626</t>
  </si>
  <si>
    <t>B627</t>
  </si>
  <si>
    <t>B628</t>
  </si>
  <si>
    <t>B629</t>
  </si>
  <si>
    <t>B630</t>
  </si>
  <si>
    <t>B631</t>
  </si>
  <si>
    <t>B632</t>
  </si>
  <si>
    <t>B633</t>
  </si>
  <si>
    <t>B634</t>
  </si>
  <si>
    <t>B635</t>
  </si>
  <si>
    <t>B636</t>
  </si>
  <si>
    <t>B637</t>
  </si>
  <si>
    <t>B638</t>
  </si>
  <si>
    <t>B639</t>
  </si>
  <si>
    <t>B640</t>
  </si>
  <si>
    <t>B641</t>
  </si>
  <si>
    <t>B642</t>
  </si>
  <si>
    <t>B643</t>
  </si>
  <si>
    <t>B644</t>
  </si>
  <si>
    <t>B645</t>
  </si>
  <si>
    <t>B646</t>
  </si>
  <si>
    <t>B647</t>
  </si>
  <si>
    <t>B648</t>
  </si>
  <si>
    <t>B649</t>
  </si>
  <si>
    <t>B650</t>
  </si>
  <si>
    <t>B651</t>
  </si>
  <si>
    <t>B652</t>
  </si>
  <si>
    <t>B653</t>
  </si>
  <si>
    <t>B654</t>
  </si>
  <si>
    <t>B655</t>
  </si>
  <si>
    <t>B656</t>
  </si>
  <si>
    <t>B657</t>
  </si>
  <si>
    <t>B658</t>
  </si>
  <si>
    <t>B659</t>
  </si>
  <si>
    <t>B660</t>
  </si>
  <si>
    <t>B661</t>
  </si>
  <si>
    <t>B662</t>
  </si>
  <si>
    <t>B663</t>
  </si>
  <si>
    <t>B664</t>
  </si>
  <si>
    <t>B665</t>
  </si>
  <si>
    <t>B666</t>
  </si>
  <si>
    <t>B667</t>
  </si>
  <si>
    <t>B668</t>
  </si>
  <si>
    <t>B669</t>
  </si>
  <si>
    <t>B670</t>
  </si>
  <si>
    <t>B671</t>
  </si>
  <si>
    <t>B672</t>
  </si>
  <si>
    <t>B673</t>
  </si>
  <si>
    <t>B674</t>
  </si>
  <si>
    <t>B675</t>
  </si>
  <si>
    <t>B676</t>
  </si>
  <si>
    <t>B677</t>
  </si>
  <si>
    <t>B678</t>
  </si>
  <si>
    <t>B679</t>
  </si>
  <si>
    <t>B680</t>
  </si>
  <si>
    <t>B681</t>
  </si>
  <si>
    <t>B682</t>
  </si>
  <si>
    <t>B683</t>
  </si>
  <si>
    <t>B684</t>
  </si>
  <si>
    <t>B685</t>
  </si>
  <si>
    <t>B686</t>
  </si>
  <si>
    <t>B687</t>
  </si>
  <si>
    <t>B688</t>
  </si>
  <si>
    <t>B689</t>
  </si>
  <si>
    <t>B690</t>
  </si>
  <si>
    <t>B691</t>
  </si>
  <si>
    <t>B692</t>
  </si>
  <si>
    <t>B693</t>
  </si>
  <si>
    <t>B694</t>
  </si>
  <si>
    <t>B695</t>
  </si>
  <si>
    <t>B696</t>
  </si>
  <si>
    <t>B697</t>
  </si>
  <si>
    <t>B698</t>
  </si>
  <si>
    <t>B699</t>
  </si>
  <si>
    <t>B700</t>
  </si>
  <si>
    <t>Male</t>
  </si>
  <si>
    <t>Female</t>
  </si>
  <si>
    <t>Adventure</t>
  </si>
  <si>
    <t>Family</t>
  </si>
  <si>
    <t>International</t>
  </si>
  <si>
    <t>Honeymoon</t>
  </si>
  <si>
    <t>Domestic</t>
  </si>
  <si>
    <t>Thailand</t>
  </si>
  <si>
    <t>Manali</t>
  </si>
  <si>
    <t>Maldives</t>
  </si>
  <si>
    <t>Dubai</t>
  </si>
  <si>
    <t>Kerala</t>
  </si>
  <si>
    <t>Goa</t>
  </si>
  <si>
    <t>Paris</t>
  </si>
  <si>
    <t>Bali</t>
  </si>
  <si>
    <t>Singapore</t>
  </si>
  <si>
    <t>08-07-2025</t>
  </si>
  <si>
    <t>08-01-2025</t>
  </si>
  <si>
    <t>19-05-2025</t>
  </si>
  <si>
    <t>23-06-2025</t>
  </si>
  <si>
    <t>05-04-2025</t>
  </si>
  <si>
    <t>06-04-2025</t>
  </si>
  <si>
    <t>02-05-2025</t>
  </si>
  <si>
    <t>22-06-2025</t>
  </si>
  <si>
    <t>31-01-2025</t>
  </si>
  <si>
    <t>02-06-2025</t>
  </si>
  <si>
    <t>07-05-2025</t>
  </si>
  <si>
    <t>17-06-2025</t>
  </si>
  <si>
    <t>05-05-2025</t>
  </si>
  <si>
    <t>28-04-2025</t>
  </si>
  <si>
    <t>26-05-2025</t>
  </si>
  <si>
    <t>09-01-2025</t>
  </si>
  <si>
    <t>20-05-2025</t>
  </si>
  <si>
    <t>05-08-2025</t>
  </si>
  <si>
    <t>15-03-2025</t>
  </si>
  <si>
    <t>09-05-2025</t>
  </si>
  <si>
    <t>18-03-2025</t>
  </si>
  <si>
    <t>28-06-2025</t>
  </si>
  <si>
    <t>04-01-2025</t>
  </si>
  <si>
    <t>19-07-2025</t>
  </si>
  <si>
    <t>19-03-2025</t>
  </si>
  <si>
    <t>30-01-2025</t>
  </si>
  <si>
    <t>13-03-2025</t>
  </si>
  <si>
    <t>03-02-2025</t>
  </si>
  <si>
    <t>07-07-2025</t>
  </si>
  <si>
    <t>01-06-2025</t>
  </si>
  <si>
    <t>29-04-2025</t>
  </si>
  <si>
    <t>13-04-2025</t>
  </si>
  <si>
    <t>25-04-2025</t>
  </si>
  <si>
    <t>10-02-2025</t>
  </si>
  <si>
    <t>02-01-2025</t>
  </si>
  <si>
    <t>10-03-2025</t>
  </si>
  <si>
    <t>23-08-2025</t>
  </si>
  <si>
    <t>18-02-2025</t>
  </si>
  <si>
    <t>15-08-2025</t>
  </si>
  <si>
    <t>15-05-2025</t>
  </si>
  <si>
    <t>25-05-2025</t>
  </si>
  <si>
    <t>09-07-2025</t>
  </si>
  <si>
    <t>24-04-2025</t>
  </si>
  <si>
    <t>10-05-2025</t>
  </si>
  <si>
    <t>25-07-2025</t>
  </si>
  <si>
    <t>08-02-2025</t>
  </si>
  <si>
    <t>04-05-2025</t>
  </si>
  <si>
    <t>06-06-2025</t>
  </si>
  <si>
    <t>11-06-2025</t>
  </si>
  <si>
    <t>26-07-2025</t>
  </si>
  <si>
    <t>27-06-2025</t>
  </si>
  <si>
    <t>03-07-2025</t>
  </si>
  <si>
    <t>09-02-2025</t>
  </si>
  <si>
    <t>26-04-2025</t>
  </si>
  <si>
    <t>20-02-2025</t>
  </si>
  <si>
    <t>27-01-2025</t>
  </si>
  <si>
    <t>24-08-2025</t>
  </si>
  <si>
    <t>20-07-2025</t>
  </si>
  <si>
    <t>21-01-2025</t>
  </si>
  <si>
    <t>10-01-2025</t>
  </si>
  <si>
    <t>01-07-2025</t>
  </si>
  <si>
    <t>19-04-2025</t>
  </si>
  <si>
    <t>22-02-2025</t>
  </si>
  <si>
    <t>19-01-2025</t>
  </si>
  <si>
    <t>07-06-2025</t>
  </si>
  <si>
    <t>18-05-2025</t>
  </si>
  <si>
    <t>05-02-2025</t>
  </si>
  <si>
    <t>01-03-2025</t>
  </si>
  <si>
    <t>01-05-2025</t>
  </si>
  <si>
    <t>17-05-2025</t>
  </si>
  <si>
    <t>16-02-2025</t>
  </si>
  <si>
    <t>25-02-2025</t>
  </si>
  <si>
    <t>18-01-2025</t>
  </si>
  <si>
    <t>16-05-2025</t>
  </si>
  <si>
    <t>20-06-2025</t>
  </si>
  <si>
    <t>13-08-2025</t>
  </si>
  <si>
    <t>06-07-2025</t>
  </si>
  <si>
    <t>03-03-2025</t>
  </si>
  <si>
    <t>26-01-2025</t>
  </si>
  <si>
    <t>15-04-2025</t>
  </si>
  <si>
    <t>08-05-2025</t>
  </si>
  <si>
    <t>06-05-2025</t>
  </si>
  <si>
    <t>04-06-2025</t>
  </si>
  <si>
    <t>24-01-2025</t>
  </si>
  <si>
    <t>24-05-2025</t>
  </si>
  <si>
    <t>03-01-2025</t>
  </si>
  <si>
    <t>11-01-2025</t>
  </si>
  <si>
    <t>14-02-2025</t>
  </si>
  <si>
    <t>03-06-2025</t>
  </si>
  <si>
    <t>02-03-2025</t>
  </si>
  <si>
    <t>10-06-2025</t>
  </si>
  <si>
    <t>10-04-2025</t>
  </si>
  <si>
    <t>02-02-2025</t>
  </si>
  <si>
    <t>09-06-2025</t>
  </si>
  <si>
    <t>26-08-2025</t>
  </si>
  <si>
    <t>07-02-2025</t>
  </si>
  <si>
    <t>01-02-2025</t>
  </si>
  <si>
    <t>31-05-2025</t>
  </si>
  <si>
    <t>12-06-2025</t>
  </si>
  <si>
    <t>17-08-2025</t>
  </si>
  <si>
    <t>23-07-2025</t>
  </si>
  <si>
    <t>20-01-2025</t>
  </si>
  <si>
    <t>09-08-2025</t>
  </si>
  <si>
    <t>10-08-2025</t>
  </si>
  <si>
    <t>23-05-2025</t>
  </si>
  <si>
    <t>29-08-2025</t>
  </si>
  <si>
    <t>22-05-2025</t>
  </si>
  <si>
    <t>29-06-2025</t>
  </si>
  <si>
    <t>08-06-2025</t>
  </si>
  <si>
    <t>03-04-2025</t>
  </si>
  <si>
    <t>21-04-2025</t>
  </si>
  <si>
    <t>11-07-2025</t>
  </si>
  <si>
    <t>29-03-2025</t>
  </si>
  <si>
    <t>25-01-2025</t>
  </si>
  <si>
    <t>27-05-2025</t>
  </si>
  <si>
    <t>12-02-2025</t>
  </si>
  <si>
    <t>26-03-2025</t>
  </si>
  <si>
    <t>24-06-2025</t>
  </si>
  <si>
    <t>23-04-2025</t>
  </si>
  <si>
    <t>07-03-2025</t>
  </si>
  <si>
    <t>08-03-2025</t>
  </si>
  <si>
    <t>24-07-2025</t>
  </si>
  <si>
    <t>18-04-2025</t>
  </si>
  <si>
    <t>13-01-2025</t>
  </si>
  <si>
    <t>30-04-2025</t>
  </si>
  <si>
    <t>13-02-2025</t>
  </si>
  <si>
    <t>01-01-2025</t>
  </si>
  <si>
    <t>24-02-2025</t>
  </si>
  <si>
    <t>03-08-2025</t>
  </si>
  <si>
    <t>12-07-2025</t>
  </si>
  <si>
    <t>22-08-2025</t>
  </si>
  <si>
    <t>25-03-2025</t>
  </si>
  <si>
    <t>30-03-2025</t>
  </si>
  <si>
    <t>11-05-2025</t>
  </si>
  <si>
    <t>12-04-2025</t>
  </si>
  <si>
    <t>21-02-2025</t>
  </si>
  <si>
    <t>18-07-2025</t>
  </si>
  <si>
    <t>27-07-2025</t>
  </si>
  <si>
    <t>23-02-2025</t>
  </si>
  <si>
    <t>14-08-2025</t>
  </si>
  <si>
    <t>22-01-2025</t>
  </si>
  <si>
    <t>06-03-2025</t>
  </si>
  <si>
    <t>04-03-2025</t>
  </si>
  <si>
    <t>14-05-2025</t>
  </si>
  <si>
    <t>12-01-2025</t>
  </si>
  <si>
    <t>29-07-2025</t>
  </si>
  <si>
    <t>15-02-2025</t>
  </si>
  <si>
    <t>28-05-2025</t>
  </si>
  <si>
    <t>04-04-2025</t>
  </si>
  <si>
    <t>05-01-2025</t>
  </si>
  <si>
    <t>31-03-2025</t>
  </si>
  <si>
    <t>09-03-2025</t>
  </si>
  <si>
    <t>24-03-2025</t>
  </si>
  <si>
    <t>27-04-2025</t>
  </si>
  <si>
    <t>12-05-2025</t>
  </si>
  <si>
    <t>02-07-2025</t>
  </si>
  <si>
    <t>20-03-2025</t>
  </si>
  <si>
    <t>19-08-2025</t>
  </si>
  <si>
    <t>17-03-2025</t>
  </si>
  <si>
    <t>28-08-2025</t>
  </si>
  <si>
    <t>14-03-2025</t>
  </si>
  <si>
    <t>17-02-2025</t>
  </si>
  <si>
    <t>16-08-2025</t>
  </si>
  <si>
    <t>25-08-2025</t>
  </si>
  <si>
    <t>12-08-2025</t>
  </si>
  <si>
    <t>27-08-2025</t>
  </si>
  <si>
    <t>14-01-2025</t>
  </si>
  <si>
    <t>13-05-2025</t>
  </si>
  <si>
    <t>06-08-2025</t>
  </si>
  <si>
    <t>20-08-2025</t>
  </si>
  <si>
    <t>23-01-2025</t>
  </si>
  <si>
    <t>28-03-2025</t>
  </si>
  <si>
    <t>08-04-2025</t>
  </si>
  <si>
    <t>16-04-2025</t>
  </si>
  <si>
    <t>19-06-2025</t>
  </si>
  <si>
    <t>30-05-2025</t>
  </si>
  <si>
    <t>07-04-2025</t>
  </si>
  <si>
    <t>15-07-2025</t>
  </si>
  <si>
    <t>05-07-2025</t>
  </si>
  <si>
    <t>16-03-2025</t>
  </si>
  <si>
    <t>21-06-2025</t>
  </si>
  <si>
    <t>31-07-2025</t>
  </si>
  <si>
    <t>21-07-2025</t>
  </si>
  <si>
    <t>18-08-2025</t>
  </si>
  <si>
    <t>28-07-2025</t>
  </si>
  <si>
    <t>21-03-2025</t>
  </si>
  <si>
    <t>19-02-2025</t>
  </si>
  <si>
    <t>16-01-2025</t>
  </si>
  <si>
    <t>25-06-2025</t>
  </si>
  <si>
    <t>30-06-2025</t>
  </si>
  <si>
    <t>11-08-2025</t>
  </si>
  <si>
    <t>16-06-2025</t>
  </si>
  <si>
    <t>22-04-2025</t>
  </si>
  <si>
    <t>08-08-2025</t>
  </si>
  <si>
    <t>10-07-2025</t>
  </si>
  <si>
    <t>07-08-2025</t>
  </si>
  <si>
    <t>06-01-2025</t>
  </si>
  <si>
    <t>04-02-2025</t>
  </si>
  <si>
    <t>29-01-2025</t>
  </si>
  <si>
    <t>11-04-2025</t>
  </si>
  <si>
    <t>27-02-2025</t>
  </si>
  <si>
    <t>11-03-2025</t>
  </si>
  <si>
    <t>28-01-2025</t>
  </si>
  <si>
    <t>17-07-2025</t>
  </si>
  <si>
    <t>22-03-2025</t>
  </si>
  <si>
    <t>21-08-2025</t>
  </si>
  <si>
    <t>04-07-2025</t>
  </si>
  <si>
    <t>14-07-2025</t>
  </si>
  <si>
    <t>17-01-2025</t>
  </si>
  <si>
    <t>26-06-2025</t>
  </si>
  <si>
    <t>12-03-2025</t>
  </si>
  <si>
    <t>16-07-2025</t>
  </si>
  <si>
    <t>23-03-2025</t>
  </si>
  <si>
    <t>22-07-2025</t>
  </si>
  <si>
    <t>15-01-2025</t>
  </si>
  <si>
    <t>02-04-2025</t>
  </si>
  <si>
    <t>15-06-2025</t>
  </si>
  <si>
    <t>17-04-2025</t>
  </si>
  <si>
    <t>01-08-2025</t>
  </si>
  <si>
    <t>04-08-2025</t>
  </si>
  <si>
    <t>14-04-2025</t>
  </si>
  <si>
    <t>26-02-2025</t>
  </si>
  <si>
    <t>03-05-2025</t>
  </si>
  <si>
    <t>13-07-2025</t>
  </si>
  <si>
    <t>20-04-2025</t>
  </si>
  <si>
    <t>01-04-2025</t>
  </si>
  <si>
    <t>05-06-2025</t>
  </si>
  <si>
    <t>29-05-2025</t>
  </si>
  <si>
    <t>14-06-2025</t>
  </si>
  <si>
    <t>21-09-2025</t>
  </si>
  <si>
    <t>13-09-2025</t>
  </si>
  <si>
    <t>08-09-2025</t>
  </si>
  <si>
    <t>16-09-2025</t>
  </si>
  <si>
    <t>31-08-2025</t>
  </si>
  <si>
    <t>10-09-2025</t>
  </si>
  <si>
    <t>05-09-2025</t>
  </si>
  <si>
    <t>28-02-2025</t>
  </si>
  <si>
    <t>01-09-2025</t>
  </si>
  <si>
    <t>22-09-2025</t>
  </si>
  <si>
    <t>05-03-2025</t>
  </si>
  <si>
    <t>07-09-2025</t>
  </si>
  <si>
    <t>09-04-2025</t>
  </si>
  <si>
    <t>18-06-2025</t>
  </si>
  <si>
    <t>13-06-2025</t>
  </si>
  <si>
    <t>30-08-2025</t>
  </si>
  <si>
    <t>15-09-2025</t>
  </si>
  <si>
    <t>18-09-2025</t>
  </si>
  <si>
    <t>27-03-2025</t>
  </si>
  <si>
    <t>30-07-2025</t>
  </si>
  <si>
    <t>09-09-2025</t>
  </si>
  <si>
    <t>06-02-2025</t>
  </si>
  <si>
    <t>03-09-2025</t>
  </si>
  <si>
    <t>20-09-2025</t>
  </si>
  <si>
    <t>06-09-2025</t>
  </si>
  <si>
    <t>21-05-2025</t>
  </si>
  <si>
    <t>17-09-2025</t>
  </si>
  <si>
    <t>11-02-2025</t>
  </si>
  <si>
    <t>14-09-2025</t>
  </si>
  <si>
    <t>04-09-2025</t>
  </si>
  <si>
    <t>12-09-2025</t>
  </si>
  <si>
    <t>02-08-2025</t>
  </si>
  <si>
    <t>02-09-2025</t>
  </si>
  <si>
    <t>11-09-2025</t>
  </si>
  <si>
    <t>29-09-2025</t>
  </si>
  <si>
    <t>23-09-2025</t>
  </si>
  <si>
    <t>28-09-2025</t>
  </si>
  <si>
    <t>19-09-2025</t>
  </si>
  <si>
    <t>25-09-2025</t>
  </si>
  <si>
    <t>30-09-2025</t>
  </si>
  <si>
    <t>26-09-2025</t>
  </si>
  <si>
    <t>Booked</t>
  </si>
  <si>
    <t>Cancelled</t>
  </si>
  <si>
    <t>Jul</t>
  </si>
  <si>
    <t>Jan</t>
  </si>
  <si>
    <t>May</t>
  </si>
  <si>
    <t>Jun</t>
  </si>
  <si>
    <t>Apr</t>
  </si>
  <si>
    <t>Aug</t>
  </si>
  <si>
    <t>Mar</t>
  </si>
  <si>
    <t>Feb</t>
  </si>
  <si>
    <t>Tour Package Sales</t>
  </si>
  <si>
    <t>Grand Total</t>
  </si>
  <si>
    <t>Sum of Net Revenue</t>
  </si>
  <si>
    <t>Total Revenue By Month</t>
  </si>
  <si>
    <t>Count of Booking ID</t>
  </si>
  <si>
    <t>Average of Price</t>
  </si>
  <si>
    <t>Sum of Discount Amount</t>
  </si>
  <si>
    <t>Discount Impact Analysis</t>
  </si>
  <si>
    <t>Discount%</t>
  </si>
  <si>
    <t>Kabir Mishra</t>
  </si>
  <si>
    <t>Ananya Bose</t>
  </si>
  <si>
    <t>Krishna Bose</t>
  </si>
  <si>
    <t>Meera Bose</t>
  </si>
  <si>
    <t>Isha Gupta</t>
  </si>
  <si>
    <t>Aditya Agarwal</t>
  </si>
  <si>
    <t>Aditya Iyer</t>
  </si>
  <si>
    <t>Rohan Kulkarni</t>
  </si>
  <si>
    <t>Manish Menon</t>
  </si>
  <si>
    <t>Sanya Chowdhury</t>
  </si>
  <si>
    <t>Diya Das</t>
  </si>
  <si>
    <t>Kabir Das</t>
  </si>
  <si>
    <t>Karan Kapoor</t>
  </si>
  <si>
    <t>Manish Jain</t>
  </si>
  <si>
    <t>Komal Patel</t>
  </si>
  <si>
    <t>Aarav Agarwal</t>
  </si>
  <si>
    <t>Sameer Khan</t>
  </si>
  <si>
    <t>Pooja Menon</t>
  </si>
  <si>
    <t>Krishna Khan</t>
  </si>
  <si>
    <t>Kavya Kapoor</t>
  </si>
  <si>
    <t>Sanya Agarwal</t>
  </si>
  <si>
    <t>Aditi Jain</t>
  </si>
  <si>
    <t>Nisha Mishra</t>
  </si>
  <si>
    <t>Aditya Khan</t>
  </si>
  <si>
    <t>Anil Reddy</t>
  </si>
  <si>
    <t>Sameer Bose</t>
  </si>
  <si>
    <t>Swati Tripathi</t>
  </si>
  <si>
    <t>Sneha Patel</t>
  </si>
  <si>
    <t>Swati Mishra</t>
  </si>
  <si>
    <t>Swati Agarwal</t>
  </si>
  <si>
    <t>Ramesh Bose</t>
  </si>
  <si>
    <t>Isha Khan</t>
  </si>
  <si>
    <t>Neha Joshi</t>
  </si>
  <si>
    <t>Payal Gupta</t>
  </si>
  <si>
    <t>Sanya Shetty</t>
  </si>
  <si>
    <t>Vivaan Patel</t>
  </si>
  <si>
    <t>Diya Patel</t>
  </si>
  <si>
    <t>Aditi Kapoor</t>
  </si>
  <si>
    <t>Vivaan Das</t>
  </si>
  <si>
    <t>Ananya Chowdhury</t>
  </si>
  <si>
    <t>Vikas Kulkarni</t>
  </si>
  <si>
    <t>Rahul Jain</t>
  </si>
  <si>
    <t>Payal Kapoor</t>
  </si>
  <si>
    <t>Komal Bose</t>
  </si>
  <si>
    <t>Nisha Joshi</t>
  </si>
  <si>
    <t>Sanya Iyer</t>
  </si>
  <si>
    <t>Sanya Menon</t>
  </si>
  <si>
    <t>Isha Das</t>
  </si>
  <si>
    <t>Siddharth Sharma</t>
  </si>
  <si>
    <t>Vivaan Kapoor</t>
  </si>
  <si>
    <t>Priya Bose</t>
  </si>
  <si>
    <t>Payal Mishra</t>
  </si>
  <si>
    <t>Nisha Das</t>
  </si>
  <si>
    <t>Karan Jain</t>
  </si>
  <si>
    <t>Nikhil Bose</t>
  </si>
  <si>
    <t>Diya Khan</t>
  </si>
  <si>
    <t>Neha Kulkarni</t>
  </si>
  <si>
    <t>Siddharth Khan</t>
  </si>
  <si>
    <t>Swati Gupta</t>
  </si>
  <si>
    <t>Arjun Gupta</t>
  </si>
  <si>
    <t>Siddharth Chowdhury</t>
  </si>
  <si>
    <t>Aditya Bose</t>
  </si>
  <si>
    <t>Pranav Khan</t>
  </si>
  <si>
    <t>Pooja Das</t>
  </si>
  <si>
    <t>Aditi Mishra</t>
  </si>
  <si>
    <t>Diya Bose</t>
  </si>
  <si>
    <t>Suresh Mishra</t>
  </si>
  <si>
    <t>Arjun Chowdhury</t>
  </si>
  <si>
    <t>Shreya Tripathi</t>
  </si>
  <si>
    <t>Aditi Khan</t>
  </si>
  <si>
    <t>Pranav Iyer</t>
  </si>
  <si>
    <t>Aarohi Menon</t>
  </si>
  <si>
    <t>Sneha Menon</t>
  </si>
  <si>
    <t>Harsh Khan</t>
  </si>
  <si>
    <t>Shreya Das</t>
  </si>
  <si>
    <t>Deepak Gupta</t>
  </si>
  <si>
    <t>Sameer Sharma</t>
  </si>
  <si>
    <t>Harsh Patel</t>
  </si>
  <si>
    <t>Ritika Menon</t>
  </si>
  <si>
    <t>Suresh Reddy</t>
  </si>
  <si>
    <t>Aditya Mishra</t>
  </si>
  <si>
    <t>Vikas Pandey</t>
  </si>
  <si>
    <t>Sunita Kulkarni</t>
  </si>
  <si>
    <t>Rahul Pandey</t>
  </si>
  <si>
    <t>Rohan Agarwal</t>
  </si>
  <si>
    <t>Vivaan Bose</t>
  </si>
  <si>
    <t>Rohan Reddy</t>
  </si>
  <si>
    <t>Pooja Patel</t>
  </si>
  <si>
    <t>Sunita Khan</t>
  </si>
  <si>
    <t>Suresh Iyer</t>
  </si>
  <si>
    <t>Pooja Jain</t>
  </si>
  <si>
    <t>Kabir Reddy</t>
  </si>
  <si>
    <t>Sanya Khan</t>
  </si>
  <si>
    <t>Aarohi Iyer</t>
  </si>
  <si>
    <t>Vivaan Iyer</t>
  </si>
  <si>
    <t>Aarohi Reddy</t>
  </si>
  <si>
    <t>Aarav Sharma</t>
  </si>
  <si>
    <t>Isha Kulkarni</t>
  </si>
  <si>
    <t>Anil Shetty</t>
  </si>
  <si>
    <t>Kabir Pandey</t>
  </si>
  <si>
    <t>Meera Gupta</t>
  </si>
  <si>
    <t>Aditi Iyer</t>
  </si>
  <si>
    <t>Aditya Chowdhury</t>
  </si>
  <si>
    <t>Suresh Kapoor</t>
  </si>
  <si>
    <t>Nikhil Kapoor</t>
  </si>
  <si>
    <t>Sanya Das</t>
  </si>
  <si>
    <t>Ananya Das</t>
  </si>
  <si>
    <t>Aarav Khan</t>
  </si>
  <si>
    <t>Ananya Shetty</t>
  </si>
  <si>
    <t>Anil Bose</t>
  </si>
  <si>
    <t>Kabir Tripathi</t>
  </si>
  <si>
    <t>Aarohi Kapoor</t>
  </si>
  <si>
    <t>Meera Shetty</t>
  </si>
  <si>
    <t>Harsh Kapoor</t>
  </si>
  <si>
    <t>Siddharth Das</t>
  </si>
  <si>
    <t>Aditya Joshi</t>
  </si>
  <si>
    <t>Payal Kulkarni</t>
  </si>
  <si>
    <t>Pooja Agarwal</t>
  </si>
  <si>
    <t>Bhavna Chowdhury</t>
  </si>
  <si>
    <t>Karan Pandey</t>
  </si>
  <si>
    <t>Nikhil Gupta</t>
  </si>
  <si>
    <t>Bhavna Joshi</t>
  </si>
  <si>
    <t>Pranav Patel</t>
  </si>
  <si>
    <t>Sunita Das</t>
  </si>
  <si>
    <t>Ritika Das</t>
  </si>
  <si>
    <t>Vikas Kapoor</t>
  </si>
  <si>
    <t>Kavya Jain</t>
  </si>
  <si>
    <t>Suresh Pandey</t>
  </si>
  <si>
    <t>Rahul Shetty</t>
  </si>
  <si>
    <t>Vivaan Tripathi</t>
  </si>
  <si>
    <t>Sunita Reddy</t>
  </si>
  <si>
    <t>Aarohi Pandey</t>
  </si>
  <si>
    <t>Rahul Khan</t>
  </si>
  <si>
    <t>Harsh Jain</t>
  </si>
  <si>
    <t>Meera Iyer</t>
  </si>
  <si>
    <t>Arjun Khan</t>
  </si>
  <si>
    <t>Krishna Kulkarni</t>
  </si>
  <si>
    <t>Ramesh Patel</t>
  </si>
  <si>
    <t>Neha Kapoor</t>
  </si>
  <si>
    <t>Ritika Agarwal</t>
  </si>
  <si>
    <t>Vikas Menon</t>
  </si>
  <si>
    <t>Krishna Menon</t>
  </si>
  <si>
    <t>Diya Reddy</t>
  </si>
  <si>
    <t>Arjun Joshi</t>
  </si>
  <si>
    <t>Diya Shetty</t>
  </si>
  <si>
    <t>Sanya Joshi</t>
  </si>
  <si>
    <t>Pooja Khan</t>
  </si>
  <si>
    <t>Nikhil Kulkarni</t>
  </si>
  <si>
    <t>Anil Mishra</t>
  </si>
  <si>
    <t>Ritika Kulkarni</t>
  </si>
  <si>
    <t>Shreya Reddy</t>
  </si>
  <si>
    <t>Sameer Patel</t>
  </si>
  <si>
    <t>Payal Menon</t>
  </si>
  <si>
    <t>Suresh Khan</t>
  </si>
  <si>
    <t>Shreya Gupta</t>
  </si>
  <si>
    <t>Ramesh Agarwal</t>
  </si>
  <si>
    <t>Harsh Pandey</t>
  </si>
  <si>
    <t>Payal Agarwal</t>
  </si>
  <si>
    <t>Priya Das</t>
  </si>
  <si>
    <t>Rahul Patel</t>
  </si>
  <si>
    <t>Meera Tripathi</t>
  </si>
  <si>
    <t>Swati Chowdhury</t>
  </si>
  <si>
    <t>Ananya Reddy</t>
  </si>
  <si>
    <t>Kavya Iyer</t>
  </si>
  <si>
    <t>Payal Jain</t>
  </si>
  <si>
    <t>Karan Patel</t>
  </si>
  <si>
    <t>Deepak Menon</t>
  </si>
  <si>
    <t>Sanya Bose</t>
  </si>
  <si>
    <t>Vikas Agarwal</t>
  </si>
  <si>
    <t>Siddharth Menon</t>
  </si>
  <si>
    <t>Karan Joshi</t>
  </si>
  <si>
    <t>Bhavna Bose</t>
  </si>
  <si>
    <t>Ritika Iyer</t>
  </si>
  <si>
    <t>Priya Agarwal</t>
  </si>
  <si>
    <t>Rahul Sharma</t>
  </si>
  <si>
    <t>Neha Pandey</t>
  </si>
  <si>
    <t>Kabir Kapoor</t>
  </si>
  <si>
    <t>Krishna Sharma</t>
  </si>
  <si>
    <t>Vikas Nair</t>
  </si>
  <si>
    <t>Manish Agarwal</t>
  </si>
  <si>
    <t>Arjun Sharma</t>
  </si>
  <si>
    <t>Ramesh Tripathi</t>
  </si>
  <si>
    <t>Kabir Shetty</t>
  </si>
  <si>
    <t>Nisha Tripathi</t>
  </si>
  <si>
    <t>Ritika Mishra</t>
  </si>
  <si>
    <t>Komal Agarwal</t>
  </si>
  <si>
    <t>Swati Nair</t>
  </si>
  <si>
    <t>Ananya Nair</t>
  </si>
  <si>
    <t>Ananya Patel</t>
  </si>
  <si>
    <t>Aarohi Mishra</t>
  </si>
  <si>
    <t>Isha Nair</t>
  </si>
  <si>
    <t>Arjun Agarwal</t>
  </si>
  <si>
    <t>Aarav Reddy</t>
  </si>
  <si>
    <t>Kabir Menon</t>
  </si>
  <si>
    <t>Priya Jain</t>
  </si>
  <si>
    <t>Aditya Sharma</t>
  </si>
  <si>
    <t>Priya Iyer</t>
  </si>
  <si>
    <t>Deepak Das</t>
  </si>
  <si>
    <t>Aarav Gupta</t>
  </si>
  <si>
    <t>Vikas Bose</t>
  </si>
  <si>
    <t>Priya Kapoor</t>
  </si>
  <si>
    <t>Siddharth Joshi</t>
  </si>
  <si>
    <t>Aditi Kulkarni</t>
  </si>
  <si>
    <t>Aarav Shetty</t>
  </si>
  <si>
    <t>Rohan Chowdhury</t>
  </si>
  <si>
    <t>Swati Bose</t>
  </si>
  <si>
    <t>Siddharth Kapoor</t>
  </si>
  <si>
    <t>Sanya Patel</t>
  </si>
  <si>
    <t>Anil Chowdhury</t>
  </si>
  <si>
    <t>Bhavna Jain</t>
  </si>
  <si>
    <t>Kavya Khan</t>
  </si>
  <si>
    <t>Bhavna Shetty</t>
  </si>
  <si>
    <t>Rahul Mishra</t>
  </si>
  <si>
    <t>Neha Mishra</t>
  </si>
  <si>
    <t>Payal Chowdhury</t>
  </si>
  <si>
    <t>Sameer Joshi</t>
  </si>
  <si>
    <t>Nikhil Patel</t>
  </si>
  <si>
    <t>Arjun Kapoor</t>
  </si>
  <si>
    <t>Arjun Patel</t>
  </si>
  <si>
    <t>Siddharth Pandey</t>
  </si>
  <si>
    <t>Anil Agarwal</t>
  </si>
  <si>
    <t>Priya Kulkarni</t>
  </si>
  <si>
    <t>Neha Gupta</t>
  </si>
  <si>
    <t>Anil Kulkarni</t>
  </si>
  <si>
    <t>Ananya Iyer</t>
  </si>
  <si>
    <t>Kabir Agarwal</t>
  </si>
  <si>
    <t>Nisha Kapoor</t>
  </si>
  <si>
    <t>Bhavna Menon</t>
  </si>
  <si>
    <t>Aarohi Patel</t>
  </si>
  <si>
    <t>Aditya Jain</t>
  </si>
  <si>
    <t>Karan Agarwal</t>
  </si>
  <si>
    <t>Harsh Agarwal</t>
  </si>
  <si>
    <t>Rahul Bose</t>
  </si>
  <si>
    <t>Diya Pandey</t>
  </si>
  <si>
    <t>Vivaan Sharma</t>
  </si>
  <si>
    <t>Isha Chowdhury</t>
  </si>
  <si>
    <t>Rahul Iyer</t>
  </si>
  <si>
    <t>Bhavna Gupta</t>
  </si>
  <si>
    <t>Sanya Reddy</t>
  </si>
  <si>
    <t>Harsh Kulkarni</t>
  </si>
  <si>
    <t>Aditya Kapoor</t>
  </si>
  <si>
    <t>Siddharth Nair</t>
  </si>
  <si>
    <t>Aarav Mishra</t>
  </si>
  <si>
    <t>Neha Menon</t>
  </si>
  <si>
    <t>Ritika Bose</t>
  </si>
  <si>
    <t>Nikhil Pandey</t>
  </si>
  <si>
    <t>Ramesh Sharma</t>
  </si>
  <si>
    <t>Kabir Bose</t>
  </si>
  <si>
    <t>Sunita Menon</t>
  </si>
  <si>
    <t>Kabir Chowdhury</t>
  </si>
  <si>
    <t>Priya Chowdhury</t>
  </si>
  <si>
    <t>Pooja Joshi</t>
  </si>
  <si>
    <t>Pooja Sharma</t>
  </si>
  <si>
    <t>Sunita Nair</t>
  </si>
  <si>
    <t>Anil Sharma</t>
  </si>
  <si>
    <t>Pooja Mishra</t>
  </si>
  <si>
    <t>Pooja Bose</t>
  </si>
  <si>
    <t>Komal Kulkarni</t>
  </si>
  <si>
    <t>Siddharth Patel</t>
  </si>
  <si>
    <t>Harsh Shetty</t>
  </si>
  <si>
    <t>Pranav Agarwal</t>
  </si>
  <si>
    <t>Payal Shetty</t>
  </si>
  <si>
    <t>Deepak Shetty</t>
  </si>
  <si>
    <t>Aarav Bose</t>
  </si>
  <si>
    <t>Sameer Kapoor</t>
  </si>
  <si>
    <t>Komal Khan</t>
  </si>
  <si>
    <t>Komal Chowdhury</t>
  </si>
  <si>
    <t>Komal Joshi</t>
  </si>
  <si>
    <t>Rohan Tripathi</t>
  </si>
  <si>
    <t>Rohan Patel</t>
  </si>
  <si>
    <t>Ritika Chowdhury</t>
  </si>
  <si>
    <t>Meera Kapoor</t>
  </si>
  <si>
    <t>Aditya Pandey</t>
  </si>
  <si>
    <t>Ananya Agarwal</t>
  </si>
  <si>
    <t>Aditi Joshi</t>
  </si>
  <si>
    <t>Karan Reddy</t>
  </si>
  <si>
    <t>Aditi Menon</t>
  </si>
  <si>
    <t>Isha Menon</t>
  </si>
  <si>
    <t>Nisha Reddy</t>
  </si>
  <si>
    <t>Aditya Kulkarni</t>
  </si>
  <si>
    <t>Sunita Joshi</t>
  </si>
  <si>
    <t>Vikas Joshi</t>
  </si>
  <si>
    <t>Meera Mishra</t>
  </si>
  <si>
    <t>Vivaan Nair</t>
  </si>
  <si>
    <t>Sunita Agarwal</t>
  </si>
  <si>
    <t>Harsh Chowdhury</t>
  </si>
  <si>
    <t>Siddharth Shetty</t>
  </si>
  <si>
    <t>Kavya Mishra</t>
  </si>
  <si>
    <t>Krishna Patel</t>
  </si>
  <si>
    <t>Ramesh Iyer</t>
  </si>
  <si>
    <t>Vikas Gupta</t>
  </si>
  <si>
    <t>Swati Khan</t>
  </si>
  <si>
    <t>Krishna Joshi</t>
  </si>
  <si>
    <t>Kabir Iyer</t>
  </si>
  <si>
    <t>Anil Khan</t>
  </si>
  <si>
    <t>Arjun Mishra</t>
  </si>
  <si>
    <t>Deepak Khan</t>
  </si>
  <si>
    <t>Vivaan Shetty</t>
  </si>
  <si>
    <t>Vikas Tripathi</t>
  </si>
  <si>
    <t>Kavya Patel</t>
  </si>
  <si>
    <t>Shreya Kulkarni</t>
  </si>
  <si>
    <t>Swati Kulkarni</t>
  </si>
  <si>
    <t>Suresh Agarwal</t>
  </si>
  <si>
    <t>Bhavna Khan</t>
  </si>
  <si>
    <t>Aditi Agarwal</t>
  </si>
  <si>
    <t>Ramesh Khan</t>
  </si>
  <si>
    <t>Vivaan Jain</t>
  </si>
  <si>
    <t>Komal Pandey</t>
  </si>
  <si>
    <t>Diya Sharma</t>
  </si>
  <si>
    <t>Harsh Sharma</t>
  </si>
  <si>
    <t>Shreya Shetty</t>
  </si>
  <si>
    <t>Kabir Jain</t>
  </si>
  <si>
    <t>Nikhil Chowdhury</t>
  </si>
  <si>
    <t>Sunita Bose</t>
  </si>
  <si>
    <t>Krishna Nair</t>
  </si>
  <si>
    <t>Deepak Joshi</t>
  </si>
  <si>
    <t>Anil Das</t>
  </si>
  <si>
    <t>Sneha Mishra</t>
  </si>
  <si>
    <t>Neha Chowdhury</t>
  </si>
  <si>
    <t>Aarav Joshi</t>
  </si>
  <si>
    <t>Isha Bose</t>
  </si>
  <si>
    <t>Komal Iyer</t>
  </si>
  <si>
    <t>Kavya Pandey</t>
  </si>
  <si>
    <t>Manish Shetty</t>
  </si>
  <si>
    <t>Priya Menon</t>
  </si>
  <si>
    <t>Arjun Iyer</t>
  </si>
  <si>
    <t>Aarav Kapoor</t>
  </si>
  <si>
    <t>Nikhil Das</t>
  </si>
  <si>
    <t>Neha Reddy</t>
  </si>
  <si>
    <t>Sameer Das</t>
  </si>
  <si>
    <t>Rahul Reddy</t>
  </si>
  <si>
    <t>Bhavna Reddy</t>
  </si>
  <si>
    <t>Krishna Das</t>
  </si>
  <si>
    <t>Ananya Pandey</t>
  </si>
  <si>
    <t>Payal Tripathi</t>
  </si>
  <si>
    <t>Sneha Das</t>
  </si>
  <si>
    <t>Krishna Kapoor</t>
  </si>
  <si>
    <t>Ritika Shetty</t>
  </si>
  <si>
    <t>Priya Khan</t>
  </si>
  <si>
    <t>Aditya Shetty</t>
  </si>
  <si>
    <t>Pranav Sharma</t>
  </si>
  <si>
    <t>Bhavna Patel</t>
  </si>
  <si>
    <t>Priya Sharma</t>
  </si>
  <si>
    <t>Diya Nair</t>
  </si>
  <si>
    <t>Swati Shetty</t>
  </si>
  <si>
    <t>Meera Menon</t>
  </si>
  <si>
    <t>Sunita Jain</t>
  </si>
  <si>
    <t>Vivaan Khan</t>
  </si>
  <si>
    <t>Ananya Kapoor</t>
  </si>
  <si>
    <t>Ritika Sharma</t>
  </si>
  <si>
    <t>Deepak Iyer</t>
  </si>
  <si>
    <t>Karan Bose</t>
  </si>
  <si>
    <t>Sneha Bose</t>
  </si>
  <si>
    <t>Kavya Nair</t>
  </si>
  <si>
    <t>Manish Nair</t>
  </si>
  <si>
    <t>Rahul Menon</t>
  </si>
  <si>
    <t>Krishna Jain</t>
  </si>
  <si>
    <t>Anil Nair</t>
  </si>
  <si>
    <t>Pooja Nair</t>
  </si>
  <si>
    <t>Vikas Iyer</t>
  </si>
  <si>
    <t>Karan Iyer</t>
  </si>
  <si>
    <t>Sneha Pandey</t>
  </si>
  <si>
    <t>Pranav Bose</t>
  </si>
  <si>
    <t>Sunita Shetty</t>
  </si>
  <si>
    <t>Manish Mishra</t>
  </si>
  <si>
    <t>Isha Jain</t>
  </si>
  <si>
    <t>Siddharth Bose</t>
  </si>
  <si>
    <t>Pooja Shetty</t>
  </si>
  <si>
    <t>Sameer Reddy</t>
  </si>
  <si>
    <t>Aditya Reddy</t>
  </si>
  <si>
    <t>Aditi Shetty</t>
  </si>
  <si>
    <t>Rohan Sharma</t>
  </si>
  <si>
    <t>Pooja Chowdhury</t>
  </si>
  <si>
    <t>Isha Patel</t>
  </si>
  <si>
    <t>Ramesh Mishra</t>
  </si>
  <si>
    <t>Ramesh Chowdhury</t>
  </si>
  <si>
    <t>Sneha Tripathi</t>
  </si>
  <si>
    <t>Komal Kapoor</t>
  </si>
  <si>
    <t>Meera Pandey</t>
  </si>
  <si>
    <t>Pranav Jain</t>
  </si>
  <si>
    <t>Sneha Reddy</t>
  </si>
  <si>
    <t>Arjun Tripathi</t>
  </si>
  <si>
    <t>Aarav Chowdhury</t>
  </si>
  <si>
    <t>Aarohi Tripathi</t>
  </si>
  <si>
    <t>Ritika Khan</t>
  </si>
  <si>
    <t>Neha Agarwal</t>
  </si>
  <si>
    <t>Aarav Pandey</t>
  </si>
  <si>
    <t>Diya Kapoor</t>
  </si>
  <si>
    <t>Aditya Das</t>
  </si>
  <si>
    <t>Pranav Mishra</t>
  </si>
  <si>
    <t>Sameer Kulkarni</t>
  </si>
  <si>
    <t>Sunita Mishra</t>
  </si>
  <si>
    <t>Rohan Iyer</t>
  </si>
  <si>
    <t>Sameer Nair</t>
  </si>
  <si>
    <t>Bhavna Nair</t>
  </si>
  <si>
    <t>Aditi Sharma</t>
  </si>
  <si>
    <t>Vivaan Chowdhury</t>
  </si>
  <si>
    <t>Diya Gupta</t>
  </si>
  <si>
    <t>Ananya Mishra</t>
  </si>
  <si>
    <t>Diya Iyer</t>
  </si>
  <si>
    <t>Vikas Jain</t>
  </si>
  <si>
    <t>Karan Das</t>
  </si>
  <si>
    <t>Vikas Chowdhury</t>
  </si>
  <si>
    <t>Shreya Agarwal</t>
  </si>
  <si>
    <t>Bhavna Mishra</t>
  </si>
  <si>
    <t>Aditi Patel</t>
  </si>
  <si>
    <t>Sameer Chowdhury</t>
  </si>
  <si>
    <t>Arjun Nair</t>
  </si>
  <si>
    <t>Sunita Sharma</t>
  </si>
  <si>
    <t>Karan Mishra</t>
  </si>
  <si>
    <t>Sneha Khan</t>
  </si>
  <si>
    <t>Harsh Menon</t>
  </si>
  <si>
    <t>Harsh Gupta</t>
  </si>
  <si>
    <t>Aditi Reddy</t>
  </si>
  <si>
    <t>Sunita Tripathi</t>
  </si>
  <si>
    <t>Sneha Joshi</t>
  </si>
  <si>
    <t>Sneha Gupta</t>
  </si>
  <si>
    <t>Anil Patel</t>
  </si>
  <si>
    <t>Swati Pandey</t>
  </si>
  <si>
    <t>Rohan Joshi</t>
  </si>
  <si>
    <t>Nikhil Nair</t>
  </si>
  <si>
    <t>Suresh Shetty</t>
  </si>
  <si>
    <t>Komal Das</t>
  </si>
  <si>
    <t>Ramesh Kapoor</t>
  </si>
  <si>
    <t>Kavya Sharma</t>
  </si>
  <si>
    <t>Manish Joshi</t>
  </si>
  <si>
    <t>Arjun Jain</t>
  </si>
  <si>
    <t>Sunita Iyer</t>
  </si>
  <si>
    <t>Nisha Gupta</t>
  </si>
  <si>
    <t>Sanya Gupta</t>
  </si>
  <si>
    <t>Bhavna Iyer</t>
  </si>
  <si>
    <t>Sneha Nair</t>
  </si>
  <si>
    <t>Neha Jain</t>
  </si>
  <si>
    <t>Deepak Patel</t>
  </si>
  <si>
    <t>Diya Joshi</t>
  </si>
  <si>
    <t>Kavya Gupta</t>
  </si>
  <si>
    <t>Manish Kapoor</t>
  </si>
  <si>
    <t>Aditya Gupta</t>
  </si>
  <si>
    <t>Deepak Nair</t>
  </si>
  <si>
    <t>Vikas Reddy</t>
  </si>
  <si>
    <t>Sameer Pandey</t>
  </si>
  <si>
    <t>Komal Reddy</t>
  </si>
  <si>
    <t>Meera Khan</t>
  </si>
  <si>
    <t>Shreya Iyer</t>
  </si>
  <si>
    <t>Nikhil Agarwal</t>
  </si>
  <si>
    <t>Sneha Sharma</t>
  </si>
  <si>
    <t>Aarohi Kulkarni</t>
  </si>
  <si>
    <t>Isha Reddy</t>
  </si>
  <si>
    <t>Isha Agarwal</t>
  </si>
  <si>
    <t>Priya Mishra</t>
  </si>
  <si>
    <t>Meera Nair</t>
  </si>
  <si>
    <t>Bhavna Kapoor</t>
  </si>
  <si>
    <t>Nikhil Shetty</t>
  </si>
  <si>
    <t>Ananya Joshi</t>
  </si>
  <si>
    <t>Krishna Shetty</t>
  </si>
  <si>
    <t>Aarohi Nair</t>
  </si>
  <si>
    <t>Vivaan Joshi</t>
  </si>
  <si>
    <t>Pooja Pandey</t>
  </si>
  <si>
    <t>Harsh Nair</t>
  </si>
  <si>
    <t>Vivaan Agarwal</t>
  </si>
  <si>
    <t>Sanya Kulkarni</t>
  </si>
  <si>
    <t>Vivaan Pandey</t>
  </si>
  <si>
    <t>Kabir Kulkarni</t>
  </si>
  <si>
    <t>Nisha Chowdhury</t>
  </si>
  <si>
    <t>Nisha Kulkarni</t>
  </si>
  <si>
    <t>Rohan Menon</t>
  </si>
  <si>
    <t>Kabir Patel</t>
  </si>
  <si>
    <t>Anil Pandey</t>
  </si>
  <si>
    <t>Isha Kapoor</t>
  </si>
  <si>
    <t>Pranav Kapoor</t>
  </si>
  <si>
    <t>Aditya Patel</t>
  </si>
  <si>
    <t>Sneha Jain</t>
  </si>
  <si>
    <t>Sanya Nair</t>
  </si>
  <si>
    <t>Rahul Agarwal</t>
  </si>
  <si>
    <t>Sameer Jain</t>
  </si>
  <si>
    <t>Kabir Khan</t>
  </si>
  <si>
    <t>Pranav Pandey</t>
  </si>
  <si>
    <t>Kavya Bose</t>
  </si>
  <si>
    <t>Ritika Pandey</t>
  </si>
  <si>
    <t>Harsh Bose</t>
  </si>
  <si>
    <t>Payal Das</t>
  </si>
  <si>
    <t>Aarohi Gupta</t>
  </si>
  <si>
    <t>Swati Patel</t>
  </si>
  <si>
    <t>Anil Iyer</t>
  </si>
  <si>
    <t>Ramesh Nair</t>
  </si>
  <si>
    <t>Priya Joshi</t>
  </si>
  <si>
    <t>Ramesh Pandey</t>
  </si>
  <si>
    <t>Ritika Nair</t>
  </si>
  <si>
    <t>Sameer Agarwal</t>
  </si>
  <si>
    <t>Harsh Das</t>
  </si>
  <si>
    <t>Anil Gupta</t>
  </si>
  <si>
    <t>Ananya Sharma</t>
  </si>
  <si>
    <t>Deepak Mishra</t>
  </si>
  <si>
    <t>Ananya Kulkarni</t>
  </si>
  <si>
    <t>Aditya Menon</t>
  </si>
  <si>
    <t>Rohan Gupta</t>
  </si>
  <si>
    <t>Ritika Joshi</t>
  </si>
  <si>
    <t>Isha Sharma</t>
  </si>
  <si>
    <t>Meera Reddy</t>
  </si>
  <si>
    <t>Aarohi Khan</t>
  </si>
  <si>
    <t>Karan Khan</t>
  </si>
  <si>
    <t>Pooja Kapoor</t>
  </si>
  <si>
    <t>Meera Kulkarni</t>
  </si>
  <si>
    <t>Rahul Das</t>
  </si>
  <si>
    <t>Pooja Kulkarni</t>
  </si>
  <si>
    <t>Nikhil Mishra</t>
  </si>
  <si>
    <t>Siddharth Gupta</t>
  </si>
  <si>
    <t>Rohan Jain</t>
  </si>
  <si>
    <t>Harsh Iyer</t>
  </si>
  <si>
    <t>Deepak Reddy</t>
  </si>
  <si>
    <t>Aarav Menon</t>
  </si>
  <si>
    <t>Sunita Gupta</t>
  </si>
  <si>
    <t>Shreya Pandey</t>
  </si>
  <si>
    <t>Nisha Sharma</t>
  </si>
  <si>
    <t>Ramesh Das</t>
  </si>
  <si>
    <t>Shreya Sharma</t>
  </si>
  <si>
    <t>Diya Kulkarni</t>
  </si>
  <si>
    <t>Aarohi Das</t>
  </si>
  <si>
    <t>Aarav Das</t>
  </si>
  <si>
    <t>Karan Nair</t>
  </si>
  <si>
    <t>Priya Patel</t>
  </si>
  <si>
    <t>Diya Agarwal</t>
  </si>
  <si>
    <t>Shreya Nair</t>
  </si>
  <si>
    <t>Priya Gupta</t>
  </si>
  <si>
    <t>Meera Chowdhury</t>
  </si>
  <si>
    <t>Pooja Iyer</t>
  </si>
  <si>
    <t>Rohan Khan</t>
  </si>
  <si>
    <t>Aditya Nair</t>
  </si>
  <si>
    <t>Suresh Jain</t>
  </si>
  <si>
    <t>Sanya Tripathi</t>
  </si>
  <si>
    <t>Ramesh Reddy</t>
  </si>
  <si>
    <t>Pranav Chowdhury</t>
  </si>
  <si>
    <t>Pranav Nair</t>
  </si>
  <si>
    <t>Shreya Menon</t>
  </si>
  <si>
    <t>Vikas Mishra</t>
  </si>
  <si>
    <t>Payal Bose</t>
  </si>
  <si>
    <t>Ritika Reddy</t>
  </si>
  <si>
    <t>Krishna Tripathi</t>
  </si>
  <si>
    <t>Sunita Patel</t>
  </si>
  <si>
    <t>Aditi Gupta</t>
  </si>
  <si>
    <t>Harsh Reddy</t>
  </si>
  <si>
    <t>Karan Shetty</t>
  </si>
  <si>
    <t>Ritika Patel</t>
  </si>
  <si>
    <t>Manish Patel</t>
  </si>
  <si>
    <t>Arjun Menon</t>
  </si>
  <si>
    <t>Aarohi Sharma</t>
  </si>
  <si>
    <t>Swati Reddy</t>
  </si>
  <si>
    <t>Suresh Joshi</t>
  </si>
  <si>
    <t>Swati Menon</t>
  </si>
  <si>
    <t>Sameer Iyer</t>
  </si>
  <si>
    <t>Siddharth Tripathi</t>
  </si>
  <si>
    <t>Sunita Kapoor</t>
  </si>
  <si>
    <t>Ritika Kapoor</t>
  </si>
  <si>
    <t>Krishna Chowdhury</t>
  </si>
  <si>
    <t>Nisha Menon</t>
  </si>
  <si>
    <t>Manish Chowdhury</t>
  </si>
  <si>
    <t>Suresh Chowdhury</t>
  </si>
  <si>
    <t>Aarav Tripathi</t>
  </si>
  <si>
    <t>Neha Iyer</t>
  </si>
  <si>
    <t>Ritika Jain</t>
  </si>
  <si>
    <t>Rahul Nair</t>
  </si>
  <si>
    <t>Sanya Mishra</t>
  </si>
  <si>
    <t>Deepak Agarwal</t>
  </si>
  <si>
    <t>Swati Jain</t>
  </si>
  <si>
    <t>Rohan Mishra</t>
  </si>
  <si>
    <t>Payal Reddy</t>
  </si>
  <si>
    <t>Karan Gupta</t>
  </si>
  <si>
    <t>Shreya Kapoor</t>
  </si>
  <si>
    <t>Nikhil Khan</t>
  </si>
  <si>
    <t>Kavya Menon</t>
  </si>
  <si>
    <t>Shreya Patel</t>
  </si>
  <si>
    <t>Priya Reddy</t>
  </si>
  <si>
    <t>Suresh Menon</t>
  </si>
  <si>
    <t>Krishna Iyer</t>
  </si>
  <si>
    <t>Payal Nair</t>
  </si>
  <si>
    <t>Vivaan Reddy</t>
  </si>
  <si>
    <t>Isha Shetty</t>
  </si>
  <si>
    <t>Kavya Tripathi</t>
  </si>
  <si>
    <t>Aditi Pandey</t>
  </si>
  <si>
    <t>Bhavna Tripathi</t>
  </si>
  <si>
    <t>Priya Pandey</t>
  </si>
  <si>
    <t>Siddharth Jain</t>
  </si>
  <si>
    <t>Manish Kulkarni</t>
  </si>
  <si>
    <t>Isha Tripathi</t>
  </si>
  <si>
    <t>Deepak Pandey</t>
  </si>
  <si>
    <t>Aditi Tripathi</t>
  </si>
  <si>
    <t>Priya Shetty</t>
  </si>
  <si>
    <t>Ritika Tripathi</t>
  </si>
  <si>
    <t>Bhavna Das</t>
  </si>
  <si>
    <t>Rohan Bose</t>
  </si>
  <si>
    <t>Sanya Sharma</t>
  </si>
  <si>
    <t>Karan Sharma</t>
  </si>
  <si>
    <t>Nikhil Menon</t>
  </si>
  <si>
    <t>Deepak Bose</t>
  </si>
  <si>
    <t>Anil Menon</t>
  </si>
  <si>
    <t>Manish Das</t>
  </si>
  <si>
    <t>Shreya Mishra</t>
  </si>
  <si>
    <t>Manish Gupta</t>
  </si>
  <si>
    <t>Payal Joshi</t>
  </si>
  <si>
    <t>Pranav Reddy</t>
  </si>
  <si>
    <t>Deepak Tripathi</t>
  </si>
  <si>
    <t>Ramesh Shetty</t>
  </si>
  <si>
    <t>Pooja Tripathi</t>
  </si>
  <si>
    <t>Swati Kapoor</t>
  </si>
  <si>
    <t>Ananya Khan</t>
  </si>
  <si>
    <t>Siddharth Iyer</t>
  </si>
  <si>
    <t>Arjun Kulkarni</t>
  </si>
  <si>
    <t>Deepak Kapoor</t>
  </si>
  <si>
    <t>Komal Gupta</t>
  </si>
  <si>
    <t>Arjun Das</t>
  </si>
  <si>
    <t>Krishna Gupta</t>
  </si>
  <si>
    <t>Nisha Jain</t>
  </si>
  <si>
    <t>Meera Jain</t>
  </si>
  <si>
    <t>Rahul Tripathi</t>
  </si>
  <si>
    <t>Sameer Menon</t>
  </si>
  <si>
    <t>Diya Jain</t>
  </si>
  <si>
    <t>Rohan Pandey</t>
  </si>
  <si>
    <t>Shreya Joshi</t>
  </si>
  <si>
    <t>Kabir Sharma</t>
  </si>
  <si>
    <t>Isha Mishra</t>
  </si>
  <si>
    <t>Shreya Bose</t>
  </si>
  <si>
    <t>Diya Tripathi</t>
  </si>
  <si>
    <t>Komal Mishra</t>
  </si>
  <si>
    <t>Anil Tripathi</t>
  </si>
  <si>
    <t>Krishna Agarwal</t>
  </si>
  <si>
    <t>Sameer Tripathi</t>
  </si>
  <si>
    <t>Deepak Sharma</t>
  </si>
  <si>
    <t>Neha Bose</t>
  </si>
  <si>
    <t>Ananya Gupta</t>
  </si>
  <si>
    <t>Isha Iyer</t>
  </si>
  <si>
    <t>Vivaan Gupta</t>
  </si>
  <si>
    <t>Pranav Gupta</t>
  </si>
  <si>
    <t>Nisha Bose</t>
  </si>
  <si>
    <t>Komal Menon</t>
  </si>
  <si>
    <t>Nisha Khan</t>
  </si>
  <si>
    <t>Sneha Chowdhury</t>
  </si>
  <si>
    <t>Diya Chowdhury</t>
  </si>
  <si>
    <t>Pranav Das</t>
  </si>
  <si>
    <t>Kavya Shetty</t>
  </si>
  <si>
    <t>Komal Sharma</t>
  </si>
  <si>
    <t>Meera Patel</t>
  </si>
  <si>
    <t>Sneha Kulkarni</t>
  </si>
  <si>
    <t>Aditi Nair</t>
  </si>
  <si>
    <t>Neha Khan</t>
  </si>
  <si>
    <t>Manish Bose</t>
  </si>
  <si>
    <t>Ramesh Gupta</t>
  </si>
  <si>
    <t>Vikas Shetty</t>
  </si>
  <si>
    <t>Krishna Mishra</t>
  </si>
  <si>
    <t>Vikas Das</t>
  </si>
  <si>
    <t>Suresh Sharma</t>
  </si>
  <si>
    <t>Vikas Sharma</t>
  </si>
  <si>
    <t>Bhavna Sharma</t>
  </si>
  <si>
    <t>Aarav Nair</t>
  </si>
  <si>
    <t>Payal Iyer</t>
  </si>
  <si>
    <t>Shreya Khan</t>
  </si>
  <si>
    <t>Karan Kulkarni</t>
  </si>
  <si>
    <t>Kavya Chowdhury</t>
  </si>
  <si>
    <t>Manish Khan</t>
  </si>
  <si>
    <t>Ramesh Menon</t>
  </si>
  <si>
    <t>Rohan Kapoor</t>
  </si>
  <si>
    <t>Ananya Tripathi</t>
  </si>
  <si>
    <t>Neha Nair</t>
  </si>
  <si>
    <t>Swati Iyer</t>
  </si>
  <si>
    <t>Pooja Gupta</t>
  </si>
  <si>
    <t>Kabir Nair</t>
  </si>
  <si>
    <t>Aarohi Joshi</t>
  </si>
  <si>
    <t>Arjun Reddy</t>
  </si>
  <si>
    <t>Suresh Das</t>
  </si>
  <si>
    <t>Aarohi Agarwal</t>
  </si>
  <si>
    <t>Manish Tripathi</t>
  </si>
  <si>
    <t>Sanya Jain</t>
  </si>
  <si>
    <t>Suresh Kulkarni</t>
  </si>
  <si>
    <t>Kavya Kulkarni</t>
  </si>
  <si>
    <t>Suresh Nair</t>
  </si>
  <si>
    <t>Komal Tripathi</t>
  </si>
  <si>
    <t>Isha Joshi</t>
  </si>
  <si>
    <t>Kabir Joshi</t>
  </si>
  <si>
    <t>Sameer Gupta</t>
  </si>
  <si>
    <t>Aarav Kulkarni</t>
  </si>
  <si>
    <t>Rohan Nair</t>
  </si>
  <si>
    <t>Sunita Pandey</t>
  </si>
  <si>
    <t>Manish Sharma</t>
  </si>
  <si>
    <t>Payal Patel</t>
  </si>
  <si>
    <t>Nisha Iyer</t>
  </si>
  <si>
    <t>Aarohi Chowdhury</t>
  </si>
  <si>
    <t>Aarohi Jain</t>
  </si>
  <si>
    <t>Deepak Jain</t>
  </si>
  <si>
    <t>Aditya Tripathi</t>
  </si>
  <si>
    <t>Shreya Jain</t>
  </si>
  <si>
    <t>Meera Sharma</t>
  </si>
  <si>
    <t>Pranav Joshi</t>
  </si>
  <si>
    <t>Deepak Kulkarni</t>
  </si>
  <si>
    <t>Vivaan Menon</t>
  </si>
  <si>
    <t>Aarav Iyer</t>
  </si>
  <si>
    <t>Arjun Pandey</t>
  </si>
  <si>
    <t>Diya Menon</t>
  </si>
  <si>
    <t>Rahul Gupta</t>
  </si>
  <si>
    <t>Siddharth Agarwal</t>
  </si>
  <si>
    <t>Aarohi Shetty</t>
  </si>
  <si>
    <t>Manish Rathod</t>
  </si>
  <si>
    <t>Agra</t>
  </si>
  <si>
    <t>Leh-Ladakh</t>
  </si>
  <si>
    <t>Varanasi</t>
  </si>
  <si>
    <t>Shimla</t>
  </si>
  <si>
    <t>Amritsar</t>
  </si>
  <si>
    <t>Rajasthan</t>
  </si>
  <si>
    <t>Ooty</t>
  </si>
  <si>
    <t>Uttrakhand</t>
  </si>
  <si>
    <t>Kashmir</t>
  </si>
  <si>
    <t>Matheran</t>
  </si>
  <si>
    <t>Italy</t>
  </si>
  <si>
    <t>Iceland</t>
  </si>
  <si>
    <t>Bookings By Package Category</t>
  </si>
  <si>
    <t>Destinations</t>
  </si>
  <si>
    <t>Top 5 Destinations By Revenue</t>
  </si>
  <si>
    <t>Average Package Price By Category</t>
  </si>
  <si>
    <t>Revenue By Customer Age Group</t>
  </si>
  <si>
    <t>Revenue By Duration Of Trip</t>
  </si>
  <si>
    <t>Customer Demographics</t>
  </si>
  <si>
    <t>Cost Amount</t>
  </si>
  <si>
    <t>Profit</t>
  </si>
  <si>
    <t>Loss</t>
  </si>
  <si>
    <t>Profit_Loss</t>
  </si>
  <si>
    <t>Package</t>
  </si>
  <si>
    <t>15-20</t>
  </si>
  <si>
    <t>20-25</t>
  </si>
  <si>
    <t>25-30</t>
  </si>
  <si>
    <t>30-35</t>
  </si>
  <si>
    <t>35-40</t>
  </si>
  <si>
    <t>40-45</t>
  </si>
  <si>
    <t>45-50</t>
  </si>
  <si>
    <t>50-55</t>
  </si>
  <si>
    <t>55-60</t>
  </si>
  <si>
    <t>60-65</t>
  </si>
  <si>
    <t>No.Of Days</t>
  </si>
  <si>
    <t>Profit_Loss By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</si>
</sst>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4009]\ * #,##0_ ;_ [$₹-4009]\ * \-#,##0_ ;_ [$₹-4009]\ * &quot;-&quot;??_ ;_ @_ "/>
  </numFmts>
  <fonts count="5" x14ac:knownFonts="1">
    <font>
      <sz val="11"/>
      <color theme="1"/>
      <name val="Calibri"/>
      <family val="2"/>
      <scheme val="minor"/>
    </font>
    <font>
      <b/>
      <sz val="11"/>
      <color theme="1"/>
      <name val="Calibri"/>
      <family val="2"/>
      <scheme val="minor"/>
    </font>
    <font>
      <b/>
      <sz val="12"/>
      <color theme="1"/>
      <name val="Calibri"/>
      <family val="2"/>
      <scheme val="minor"/>
    </font>
    <font>
      <b/>
      <sz val="16"/>
      <color theme="0"/>
      <name val="Calibri"/>
      <family val="2"/>
      <scheme val="minor"/>
    </font>
    <font>
      <b/>
      <sz val="11"/>
      <name val="Calibri"/>
      <family val="2"/>
      <scheme val="minor"/>
    </font>
  </fonts>
  <fills count="5">
    <fill>
      <patternFill patternType="none"/>
    </fill>
    <fill>
      <patternFill patternType="gray125"/>
    </fill>
    <fill>
      <patternFill patternType="solid">
        <fgColor theme="7" tint="-0.249977111117893"/>
        <bgColor indexed="64"/>
      </patternFill>
    </fill>
    <fill>
      <patternFill patternType="solid">
        <fgColor theme="7" tint="0.59999389629810485"/>
        <bgColor indexed="64"/>
      </patternFill>
    </fill>
    <fill>
      <patternFill patternType="solid">
        <fgColor theme="7" tint="0.79998168889431442"/>
        <bgColor indexed="64"/>
      </patternFill>
    </fill>
  </fills>
  <borders count="5">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cellStyleXfs>
  <cellXfs count="21">
    <xf numFmtId="0" fontId="0" fillId="0" borderId="0" xfId="0"/>
    <xf numFmtId="0" fontId="0" fillId="0" borderId="0" xfId="0" applyAlignment="1">
      <alignment horizontal="center" vertical="center"/>
    </xf>
    <xf numFmtId="9" fontId="0" fillId="0" borderId="0" xfId="0" applyNumberFormat="1" applyAlignment="1">
      <alignment horizontal="center" vertical="center"/>
    </xf>
    <xf numFmtId="164" fontId="0" fillId="0" borderId="0" xfId="0" applyNumberFormat="1"/>
    <xf numFmtId="0" fontId="0" fillId="0" borderId="0" xfId="0" pivotButton="1" applyAlignment="1">
      <alignment horizontal="center" vertical="center"/>
    </xf>
    <xf numFmtId="1" fontId="0" fillId="0" borderId="0" xfId="0" applyNumberFormat="1" applyAlignment="1">
      <alignment horizontal="center" vertical="center"/>
    </xf>
    <xf numFmtId="0" fontId="4" fillId="3" borderId="1" xfId="0" applyFont="1" applyFill="1" applyBorder="1" applyAlignment="1">
      <alignment horizontal="center" vertical="center"/>
    </xf>
    <xf numFmtId="0" fontId="0" fillId="4" borderId="1" xfId="0" applyFill="1" applyBorder="1" applyAlignment="1">
      <alignment horizontal="center" vertical="center"/>
    </xf>
    <xf numFmtId="0" fontId="0" fillId="4" borderId="1" xfId="0" applyFill="1" applyBorder="1" applyAlignment="1">
      <alignment horizontal="center"/>
    </xf>
    <xf numFmtId="164" fontId="0" fillId="4" borderId="1" xfId="0" applyNumberFormat="1" applyFill="1" applyBorder="1" applyAlignment="1">
      <alignment horizontal="center" vertical="center"/>
    </xf>
    <xf numFmtId="9" fontId="0" fillId="4" borderId="1" xfId="0" applyNumberFormat="1" applyFill="1" applyBorder="1" applyAlignment="1">
      <alignment horizontal="center" vertical="center"/>
    </xf>
    <xf numFmtId="14" fontId="0" fillId="4" borderId="1" xfId="0" applyNumberFormat="1" applyFill="1" applyBorder="1" applyAlignment="1">
      <alignment horizontal="center" vertical="center"/>
    </xf>
    <xf numFmtId="14" fontId="1" fillId="4" borderId="1" xfId="0" applyNumberFormat="1" applyFont="1" applyFill="1" applyBorder="1" applyAlignment="1">
      <alignment horizontal="center" vertical="center"/>
    </xf>
    <xf numFmtId="0" fontId="1" fillId="4" borderId="1" xfId="0" applyFont="1" applyFill="1" applyBorder="1" applyAlignment="1">
      <alignment horizontal="center" vertical="center"/>
    </xf>
    <xf numFmtId="0" fontId="0" fillId="4" borderId="0" xfId="0" applyFill="1"/>
    <xf numFmtId="2" fontId="0" fillId="0" borderId="0" xfId="0" applyNumberFormat="1"/>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2" xfId="0" applyFont="1" applyFill="1" applyBorder="1" applyAlignment="1">
      <alignment horizontal="center" vertical="center"/>
    </xf>
    <xf numFmtId="0" fontId="2" fillId="0" borderId="0" xfId="0" applyFont="1" applyAlignment="1">
      <alignment horizontal="center" vertical="center"/>
    </xf>
    <xf numFmtId="0" fontId="0" fillId="0" borderId="0" xfId="0" applyNumberFormat="1" applyAlignment="1">
      <alignment horizontal="center" vertical="center"/>
    </xf>
  </cellXfs>
  <cellStyles count="1">
    <cellStyle name="Normal" xfId="0" builtinId="0"/>
  </cellStyles>
  <dxfs count="365">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color rgb="FF006100"/>
      </font>
      <fill>
        <patternFill>
          <bgColor rgb="FFC6EFCE"/>
        </patternFill>
      </fill>
    </dxf>
    <dxf>
      <font>
        <color rgb="FF9C0006"/>
      </font>
      <fill>
        <patternFill>
          <bgColor rgb="FFFFC7CE"/>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s>
  <tableStyles count="0" defaultTableStyle="TableStyleMedium9" defaultPivotStyle="PivotStyleLight16"/>
  <colors>
    <mruColors>
      <color rgb="FFFF99CC"/>
      <color rgb="FFD793C4"/>
      <color rgb="FFFFCCFF"/>
      <color rgb="FFFF99FF"/>
      <color rgb="FFFF9999"/>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[Tour_Package_Sales_Dashboard.xlsx]Pivot Table Calculations!PivotTable20</c:name>
    <c:fmtId val="9"/>
  </c:pivotSource>
  <c:chart>
    <c:title>
      <c:tx>
        <c:rich>
          <a:bodyPr rot="0" spcFirstLastPara="1" vertOverflow="ellipsis" vert="horz" wrap="square" anchor="ctr" anchorCtr="1"/>
          <a:lstStyle/>
          <a:p>
            <a:pPr>
              <a:defRPr sz="1600" b="1" i="0" u="none" strike="noStrike" kern="1200" baseline="0">
                <a:solidFill>
                  <a:schemeClr val="accent4"/>
                </a:solidFill>
                <a:latin typeface="Times New Roman" panose="02020603050405020304" pitchFamily="18" charset="0"/>
                <a:ea typeface="+mn-ea"/>
                <a:cs typeface="Times New Roman" panose="02020603050405020304" pitchFamily="18" charset="0"/>
              </a:defRPr>
            </a:pPr>
            <a:r>
              <a:rPr lang="en-IN">
                <a:latin typeface="Times New Roman" panose="02020603050405020304" pitchFamily="18" charset="0"/>
                <a:cs typeface="Times New Roman" panose="02020603050405020304" pitchFamily="18" charset="0"/>
              </a:rPr>
              <a:t>Total Revenue By Month</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accent4"/>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rot lat="0" lon="0" rev="1200000"/>
            </a:lightRig>
          </a:scene3d>
          <a:sp3d>
            <a:bevelT w="63500" h="254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56874726789153"/>
          <c:y val="0.17195608152540504"/>
          <c:w val="0.82387910679179277"/>
          <c:h val="0.71167526364800904"/>
        </c:manualLayout>
      </c:layout>
      <c:barChart>
        <c:barDir val="bar"/>
        <c:grouping val="clustered"/>
        <c:varyColors val="0"/>
        <c:ser>
          <c:idx val="0"/>
          <c:order val="0"/>
          <c:tx>
            <c:strRef>
              <c:f>'Pivot Table Calculations'!$B$3</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rot lat="0" lon="0" rev="1200000"/>
              </a:lightRig>
            </a:scene3d>
            <a:sp3d>
              <a:bevelT w="63500" h="25400" prst="relaxedInset"/>
            </a:sp3d>
          </c:spPr>
          <c:invertIfNegative val="0"/>
          <c:cat>
            <c:strRef>
              <c:f>'Pivot Table Calculations'!$A$4:$A$12</c:f>
              <c:strCache>
                <c:ptCount val="8"/>
                <c:pt idx="0">
                  <c:v>Jan</c:v>
                </c:pt>
                <c:pt idx="1">
                  <c:v>Feb</c:v>
                </c:pt>
                <c:pt idx="2">
                  <c:v>Mar</c:v>
                </c:pt>
                <c:pt idx="3">
                  <c:v>Apr</c:v>
                </c:pt>
                <c:pt idx="4">
                  <c:v>May</c:v>
                </c:pt>
                <c:pt idx="5">
                  <c:v>Jun</c:v>
                </c:pt>
                <c:pt idx="6">
                  <c:v>Jul</c:v>
                </c:pt>
                <c:pt idx="7">
                  <c:v>Aug</c:v>
                </c:pt>
              </c:strCache>
            </c:strRef>
          </c:cat>
          <c:val>
            <c:numRef>
              <c:f>'Pivot Table Calculations'!$B$4:$B$12</c:f>
              <c:numCache>
                <c:formatCode>General</c:formatCode>
                <c:ptCount val="8"/>
                <c:pt idx="0">
                  <c:v>8467100</c:v>
                </c:pt>
                <c:pt idx="1">
                  <c:v>6758200</c:v>
                </c:pt>
                <c:pt idx="2">
                  <c:v>6579700</c:v>
                </c:pt>
                <c:pt idx="3">
                  <c:v>4339600</c:v>
                </c:pt>
                <c:pt idx="4">
                  <c:v>8907100</c:v>
                </c:pt>
                <c:pt idx="5">
                  <c:v>6903600</c:v>
                </c:pt>
                <c:pt idx="6">
                  <c:v>7737200</c:v>
                </c:pt>
                <c:pt idx="7">
                  <c:v>5237200</c:v>
                </c:pt>
              </c:numCache>
            </c:numRef>
          </c:val>
          <c:extLst>
            <c:ext xmlns:c16="http://schemas.microsoft.com/office/drawing/2014/chart" uri="{C3380CC4-5D6E-409C-BE32-E72D297353CC}">
              <c16:uniqueId val="{00000002-9E65-4EC2-81CA-7BB13BC64511}"/>
            </c:ext>
          </c:extLst>
        </c:ser>
        <c:dLbls>
          <c:showLegendKey val="0"/>
          <c:showVal val="0"/>
          <c:showCatName val="0"/>
          <c:showSerName val="0"/>
          <c:showPercent val="0"/>
          <c:showBubbleSize val="0"/>
        </c:dLbls>
        <c:gapWidth val="150"/>
        <c:axId val="53584367"/>
        <c:axId val="1750272751"/>
      </c:barChart>
      <c:catAx>
        <c:axId val="5358436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accent4"/>
                </a:solidFill>
                <a:latin typeface="+mn-lt"/>
                <a:ea typeface="+mn-ea"/>
                <a:cs typeface="+mn-cs"/>
              </a:defRPr>
            </a:pPr>
            <a:endParaRPr lang="en-US"/>
          </a:p>
        </c:txPr>
        <c:crossAx val="1750272751"/>
        <c:crosses val="autoZero"/>
        <c:auto val="1"/>
        <c:lblAlgn val="ctr"/>
        <c:lblOffset val="100"/>
        <c:noMultiLvlLbl val="0"/>
      </c:catAx>
      <c:valAx>
        <c:axId val="1750272751"/>
        <c:scaling>
          <c:orientation val="minMax"/>
        </c:scaling>
        <c:delete val="0"/>
        <c:axPos val="b"/>
        <c:numFmt formatCode="0.0,,\ &quot;M&quot;"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accent4"/>
                </a:solidFill>
                <a:latin typeface="+mn-lt"/>
                <a:ea typeface="+mn-ea"/>
                <a:cs typeface="+mn-cs"/>
              </a:defRPr>
            </a:pPr>
            <a:endParaRPr lang="en-US"/>
          </a:p>
        </c:txPr>
        <c:crossAx val="53584367"/>
        <c:crosses val="autoZero"/>
        <c:crossBetween val="between"/>
      </c:valAx>
      <c:spPr>
        <a:noFill/>
        <a:ln w="25400">
          <a:noFill/>
        </a:ln>
        <a:effectLst/>
      </c:spPr>
    </c:plotArea>
    <c:plotVisOnly val="1"/>
    <c:dispBlanksAs val="gap"/>
    <c:showDLblsOverMax val="0"/>
    <c:extLst/>
  </c:chart>
  <c:spPr>
    <a:noFill/>
    <a:ln w="9525" cap="flat" cmpd="sng" algn="ctr">
      <a:solidFill>
        <a:schemeClr val="accent4"/>
      </a:solidFill>
      <a:prstDash val="solid"/>
      <a:round/>
      <a:headEnd type="none" w="med" len="med"/>
      <a:tailEnd type="none" w="med" len="med"/>
    </a:ln>
    <a:effectLst>
      <a:outerShdw blurRad="63500" sx="102000" sy="102000" algn="ctr" rotWithShape="0">
        <a:prstClr val="black">
          <a:alpha val="40000"/>
        </a:prstClr>
      </a:outerShdw>
    </a:effectLst>
  </c:spPr>
  <c:txPr>
    <a:bodyPr/>
    <a:lstStyle/>
    <a:p>
      <a:pPr>
        <a:defRPr>
          <a:solidFill>
            <a:schemeClr val="accent4"/>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[Tour_Package_Sales_Dashboard.xlsx]Pivot Table Calculations!PivotTable23</c:name>
    <c:fmtId val="4"/>
  </c:pivotSource>
  <c:chart>
    <c:title>
      <c:tx>
        <c:rich>
          <a:bodyPr rot="0" spcFirstLastPara="1" vertOverflow="ellipsis" vert="horz" wrap="square" anchor="ctr" anchorCtr="1"/>
          <a:lstStyle/>
          <a:p>
            <a:pPr>
              <a:defRPr sz="1800" b="1" i="0" u="none" strike="noStrike" kern="1200" baseline="0">
                <a:solidFill>
                  <a:schemeClr val="accent4"/>
                </a:solidFill>
                <a:latin typeface="+mn-lt"/>
                <a:ea typeface="+mn-ea"/>
                <a:cs typeface="+mn-cs"/>
              </a:defRPr>
            </a:pPr>
            <a:r>
              <a:rPr lang="en-IN" sz="1600">
                <a:latin typeface="Times New Roman" panose="02020603050405020304" pitchFamily="18" charset="0"/>
                <a:cs typeface="Times New Roman" panose="02020603050405020304" pitchFamily="18" charset="0"/>
              </a:rPr>
              <a:t>Revenue By Customer Age Group</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accent4"/>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accent4"/>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 Calculations'!$H$3</c:f>
              <c:strCache>
                <c:ptCount val="1"/>
                <c:pt idx="0">
                  <c:v>Total</c:v>
                </c:pt>
              </c:strCache>
            </c:strRef>
          </c:tx>
          <c:spPr>
            <a:solidFill>
              <a:schemeClr val="accent5">
                <a:lumMod val="50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accent4"/>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 Calculations'!$G$4:$G$14</c:f>
              <c:strCache>
                <c:ptCount val="10"/>
                <c:pt idx="0">
                  <c:v>15-20</c:v>
                </c:pt>
                <c:pt idx="1">
                  <c:v>20-25</c:v>
                </c:pt>
                <c:pt idx="2">
                  <c:v>25-30</c:v>
                </c:pt>
                <c:pt idx="3">
                  <c:v>30-35</c:v>
                </c:pt>
                <c:pt idx="4">
                  <c:v>35-40</c:v>
                </c:pt>
                <c:pt idx="5">
                  <c:v>40-45</c:v>
                </c:pt>
                <c:pt idx="6">
                  <c:v>45-50</c:v>
                </c:pt>
                <c:pt idx="7">
                  <c:v>50-55</c:v>
                </c:pt>
                <c:pt idx="8">
                  <c:v>55-60</c:v>
                </c:pt>
                <c:pt idx="9">
                  <c:v>60-65</c:v>
                </c:pt>
              </c:strCache>
            </c:strRef>
          </c:cat>
          <c:val>
            <c:numRef>
              <c:f>'Pivot Table Calculations'!$H$4:$H$14</c:f>
              <c:numCache>
                <c:formatCode>General</c:formatCode>
                <c:ptCount val="10"/>
                <c:pt idx="0">
                  <c:v>2237800</c:v>
                </c:pt>
                <c:pt idx="1">
                  <c:v>5394200</c:v>
                </c:pt>
                <c:pt idx="2">
                  <c:v>12338200</c:v>
                </c:pt>
                <c:pt idx="3">
                  <c:v>9253200</c:v>
                </c:pt>
                <c:pt idx="4">
                  <c:v>4417500</c:v>
                </c:pt>
                <c:pt idx="5">
                  <c:v>6170000</c:v>
                </c:pt>
                <c:pt idx="6">
                  <c:v>4882500</c:v>
                </c:pt>
                <c:pt idx="7">
                  <c:v>6111800</c:v>
                </c:pt>
                <c:pt idx="8">
                  <c:v>3458300</c:v>
                </c:pt>
                <c:pt idx="9">
                  <c:v>666200</c:v>
                </c:pt>
              </c:numCache>
            </c:numRef>
          </c:val>
          <c:shape val="cylinder"/>
          <c:extLst>
            <c:ext xmlns:c16="http://schemas.microsoft.com/office/drawing/2014/chart" uri="{C3380CC4-5D6E-409C-BE32-E72D297353CC}">
              <c16:uniqueId val="{00000000-DD67-4570-AB71-BD9D2F1B3D13}"/>
            </c:ext>
          </c:extLst>
        </c:ser>
        <c:dLbls>
          <c:showLegendKey val="0"/>
          <c:showVal val="1"/>
          <c:showCatName val="0"/>
          <c:showSerName val="0"/>
          <c:showPercent val="0"/>
          <c:showBubbleSize val="0"/>
        </c:dLbls>
        <c:gapWidth val="65"/>
        <c:shape val="box"/>
        <c:axId val="1749212975"/>
        <c:axId val="1740391855"/>
        <c:axId val="0"/>
      </c:bar3DChart>
      <c:catAx>
        <c:axId val="174921297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100" b="1" i="0" u="none" strike="noStrike" kern="1200" cap="all" baseline="0">
                <a:solidFill>
                  <a:schemeClr val="accent4"/>
                </a:solidFill>
                <a:latin typeface="+mn-lt"/>
                <a:ea typeface="+mn-ea"/>
                <a:cs typeface="+mn-cs"/>
              </a:defRPr>
            </a:pPr>
            <a:endParaRPr lang="en-US"/>
          </a:p>
        </c:txPr>
        <c:crossAx val="1740391855"/>
        <c:crosses val="autoZero"/>
        <c:auto val="1"/>
        <c:lblAlgn val="ctr"/>
        <c:lblOffset val="100"/>
        <c:noMultiLvlLbl val="0"/>
      </c:catAx>
      <c:valAx>
        <c:axId val="1740391855"/>
        <c:scaling>
          <c:orientation val="minMax"/>
        </c:scaling>
        <c:delete val="0"/>
        <c:axPos val="l"/>
        <c:numFmt formatCode="0.0,,\ &quot;M&quot;" sourceLinked="0"/>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accent4"/>
                </a:solidFill>
                <a:latin typeface="+mn-lt"/>
                <a:ea typeface="+mn-ea"/>
                <a:cs typeface="+mn-cs"/>
              </a:defRPr>
            </a:pPr>
            <a:endParaRPr lang="en-US"/>
          </a:p>
        </c:txPr>
        <c:crossAx val="1749212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4"/>
      </a:solidFill>
      <a:prstDash val="solid"/>
      <a:round/>
      <a:headEnd type="none" w="med" len="med"/>
      <a:tailEnd type="none" w="med" len="med"/>
    </a:ln>
    <a:effectLst>
      <a:outerShdw blurRad="63500" sx="102000" sy="102000" algn="ctr" rotWithShape="0">
        <a:prstClr val="black">
          <a:alpha val="40000"/>
        </a:prstClr>
      </a:outerShdw>
    </a:effectLst>
  </c:spPr>
  <c:txPr>
    <a:bodyPr/>
    <a:lstStyle/>
    <a:p>
      <a:pPr>
        <a:defRPr>
          <a:solidFill>
            <a:schemeClr val="accent4"/>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[Tour_Package_Sales_Dashboard.xlsx]Pivot Table Calculations!PivotTable25</c:name>
    <c:fmtId val="4"/>
  </c:pivotSource>
  <c:chart>
    <c:title>
      <c:tx>
        <c:rich>
          <a:bodyPr rot="0" spcFirstLastPara="1" vertOverflow="ellipsis" vert="horz" wrap="square" anchor="ctr" anchorCtr="1"/>
          <a:lstStyle/>
          <a:p>
            <a:pPr>
              <a:defRPr sz="1600" b="1" i="0" u="none" strike="noStrike" kern="1200" baseline="0">
                <a:solidFill>
                  <a:schemeClr val="accent4"/>
                </a:solidFill>
                <a:latin typeface="Times New Roman" panose="02020603050405020304" pitchFamily="18" charset="0"/>
                <a:ea typeface="+mn-ea"/>
                <a:cs typeface="Times New Roman" panose="02020603050405020304" pitchFamily="18" charset="0"/>
              </a:defRPr>
            </a:pPr>
            <a:r>
              <a:rPr lang="en-US">
                <a:latin typeface="Times New Roman" panose="02020603050405020304" pitchFamily="18" charset="0"/>
                <a:cs typeface="Times New Roman" panose="02020603050405020304" pitchFamily="18" charset="0"/>
              </a:rPr>
              <a:t>Status Analysis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accent4"/>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2.4151512139924287E-2"/>
              <c:y val="0.26944646784676196"/>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accent4"/>
                    </a:solidFill>
                    <a:latin typeface="+mn-lt"/>
                    <a:ea typeface="+mn-ea"/>
                    <a:cs typeface="+mn-cs"/>
                  </a:defRPr>
                </a:pPr>
                <a:fld id="{2F47F053-FD4C-4008-A7CC-11C5260AE5BB}" type="CATEGORYNAME">
                  <a:rPr lang="en-US" sz="1200" b="1"/>
                  <a:pPr>
                    <a:defRPr/>
                  </a:pPr>
                  <a:t>[CATEGORY NAME]</a:t>
                </a:fld>
                <a:r>
                  <a:rPr lang="en-US"/>
                  <a:t>, </a:t>
                </a:r>
                <a:fld id="{57C3485C-60E6-4910-A905-901CE8AFBE88}" type="VALUE">
                  <a:rPr lang="en-US" sz="1200" b="1"/>
                  <a:pPr>
                    <a:defRPr/>
                  </a:pPr>
                  <a:t>[VALUE]</a:t>
                </a:fld>
                <a:r>
                  <a:rPr lang="en-US" sz="1200" b="1"/>
                  <a:t>, </a:t>
                </a:r>
                <a:fld id="{060BA912-341A-430E-9B3C-B82A4A8E1E5D}" type="PERCENTAGE">
                  <a:rPr lang="en-US" sz="1200" b="1"/>
                  <a:pPr>
                    <a:defRPr/>
                  </a:pPr>
                  <a:t>[PERCENTAGE]</a:t>
                </a:fld>
                <a:endParaRPr lang="en-US" sz="1200" b="1"/>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39870106292320706"/>
                  <c:h val="0.21093167657937356"/>
                </c:manualLayout>
              </c15:layout>
              <c15:dlblFieldTable/>
              <c15:showDataLabelsRange val="0"/>
            </c:ext>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3.4783874368001663E-2"/>
              <c:y val="-0.22004794874152236"/>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accent4"/>
                    </a:solidFill>
                    <a:latin typeface="+mn-lt"/>
                    <a:ea typeface="+mn-ea"/>
                    <a:cs typeface="+mn-cs"/>
                  </a:defRPr>
                </a:pPr>
                <a:fld id="{B66ED21F-C679-4636-B4CD-389A6AA09134}" type="CATEGORYNAME">
                  <a:rPr lang="en-US" sz="1200" b="1"/>
                  <a:pPr>
                    <a:defRPr/>
                  </a:pPr>
                  <a:t>[CATEGORY NAME]</a:t>
                </a:fld>
                <a:r>
                  <a:rPr lang="en-US" sz="1200" b="1"/>
                  <a:t>, </a:t>
                </a:r>
                <a:fld id="{01EC9E5B-05D6-4EC8-91AA-B4998CAD6C71}" type="VALUE">
                  <a:rPr lang="en-US" sz="1200" b="1"/>
                  <a:pPr>
                    <a:defRPr/>
                  </a:pPr>
                  <a:t>[VALUE]</a:t>
                </a:fld>
                <a:r>
                  <a:rPr lang="en-US" sz="1200" b="1"/>
                  <a:t>, </a:t>
                </a:r>
                <a:fld id="{DC24F787-98B9-47CC-BA4A-AE819E11EAD0}" type="PERCENTAGE">
                  <a:rPr lang="en-US" sz="1200" b="1"/>
                  <a:pPr>
                    <a:defRPr/>
                  </a:pPr>
                  <a:t>[PERCENTAGE]</a:t>
                </a:fld>
                <a:endParaRPr lang="en-US" sz="1200" b="1"/>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3216761053955306"/>
                  <c:h val="0.16146597265931642"/>
                </c:manualLayout>
              </c15:layout>
              <c15:dlblFieldTable/>
              <c15:showDataLabelsRange val="0"/>
            </c:ext>
          </c:extLst>
        </c:dLbl>
      </c:pivotFmt>
    </c:pivotFmts>
    <c:plotArea>
      <c:layout>
        <c:manualLayout>
          <c:layoutTarget val="inner"/>
          <c:xMode val="edge"/>
          <c:yMode val="edge"/>
          <c:x val="0.18879270610717191"/>
          <c:y val="0.22297579225040842"/>
          <c:w val="0.60079067776516148"/>
          <c:h val="0.54295584896853633"/>
        </c:manualLayout>
      </c:layout>
      <c:doughnutChart>
        <c:varyColors val="1"/>
        <c:ser>
          <c:idx val="0"/>
          <c:order val="0"/>
          <c:tx>
            <c:strRef>
              <c:f>'Pivot Table Calculations'!$E$13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E269-4333-9E1C-884815E24446}"/>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E269-4333-9E1C-884815E24446}"/>
              </c:ext>
            </c:extLst>
          </c:dPt>
          <c:dLbls>
            <c:dLbl>
              <c:idx val="0"/>
              <c:layout>
                <c:manualLayout>
                  <c:x val="2.4151512139924287E-2"/>
                  <c:y val="0.26944646784676196"/>
                </c:manualLayout>
              </c:layout>
              <c:tx>
                <c:rich>
                  <a:bodyPr/>
                  <a:lstStyle/>
                  <a:p>
                    <a:fld id="{2F47F053-FD4C-4008-A7CC-11C5260AE5BB}" type="CATEGORYNAME">
                      <a:rPr lang="en-US" sz="1200" b="1"/>
                      <a:pPr/>
                      <a:t>[CATEGORY NAME]</a:t>
                    </a:fld>
                    <a:r>
                      <a:rPr lang="en-US"/>
                      <a:t>, </a:t>
                    </a:r>
                    <a:fld id="{57C3485C-60E6-4910-A905-901CE8AFBE88}" type="VALUE">
                      <a:rPr lang="en-US" sz="1200" b="1"/>
                      <a:pPr/>
                      <a:t>[VALUE]</a:t>
                    </a:fld>
                    <a:r>
                      <a:rPr lang="en-US" sz="1200" b="1"/>
                      <a:t>, </a:t>
                    </a:r>
                    <a:fld id="{060BA912-341A-430E-9B3C-B82A4A8E1E5D}" type="PERCENTAGE">
                      <a:rPr lang="en-US" sz="1200" b="1"/>
                      <a:pPr/>
                      <a:t>[PERCENTAGE]</a:t>
                    </a:fld>
                    <a:endParaRPr lang="en-US" sz="1200" b="1"/>
                  </a:p>
                </c:rich>
              </c:tx>
              <c:showLegendKey val="0"/>
              <c:showVal val="1"/>
              <c:showCatName val="1"/>
              <c:showSerName val="0"/>
              <c:showPercent val="1"/>
              <c:showBubbleSize val="0"/>
              <c:extLst>
                <c:ext xmlns:c15="http://schemas.microsoft.com/office/drawing/2012/chart" uri="{CE6537A1-D6FC-4f65-9D91-7224C49458BB}">
                  <c15:layout>
                    <c:manualLayout>
                      <c:w val="0.39870106292320706"/>
                      <c:h val="0.21093167657937356"/>
                    </c:manualLayout>
                  </c15:layout>
                  <c15:dlblFieldTable/>
                  <c15:showDataLabelsRange val="0"/>
                </c:ext>
                <c:ext xmlns:c16="http://schemas.microsoft.com/office/drawing/2014/chart" uri="{C3380CC4-5D6E-409C-BE32-E72D297353CC}">
                  <c16:uniqueId val="{00000001-E269-4333-9E1C-884815E24446}"/>
                </c:ext>
              </c:extLst>
            </c:dLbl>
            <c:dLbl>
              <c:idx val="1"/>
              <c:layout>
                <c:manualLayout>
                  <c:x val="-3.4783874368001663E-2"/>
                  <c:y val="-0.22004794874152236"/>
                </c:manualLayout>
              </c:layout>
              <c:tx>
                <c:rich>
                  <a:bodyPr/>
                  <a:lstStyle/>
                  <a:p>
                    <a:fld id="{B66ED21F-C679-4636-B4CD-389A6AA09134}" type="CATEGORYNAME">
                      <a:rPr lang="en-US" sz="1200" b="1"/>
                      <a:pPr/>
                      <a:t>[CATEGORY NAME]</a:t>
                    </a:fld>
                    <a:r>
                      <a:rPr lang="en-US" sz="1200" b="1"/>
                      <a:t>, </a:t>
                    </a:r>
                    <a:fld id="{01EC9E5B-05D6-4EC8-91AA-B4998CAD6C71}" type="VALUE">
                      <a:rPr lang="en-US" sz="1200" b="1"/>
                      <a:pPr/>
                      <a:t>[VALUE]</a:t>
                    </a:fld>
                    <a:r>
                      <a:rPr lang="en-US" sz="1200" b="1"/>
                      <a:t>, </a:t>
                    </a:r>
                    <a:fld id="{DC24F787-98B9-47CC-BA4A-AE819E11EAD0}" type="PERCENTAGE">
                      <a:rPr lang="en-US" sz="1200" b="1"/>
                      <a:pPr/>
                      <a:t>[PERCENTAGE]</a:t>
                    </a:fld>
                    <a:endParaRPr lang="en-US" sz="1200" b="1"/>
                  </a:p>
                </c:rich>
              </c:tx>
              <c:showLegendKey val="0"/>
              <c:showVal val="1"/>
              <c:showCatName val="1"/>
              <c:showSerName val="0"/>
              <c:showPercent val="1"/>
              <c:showBubbleSize val="0"/>
              <c:extLst>
                <c:ext xmlns:c15="http://schemas.microsoft.com/office/drawing/2012/chart" uri="{CE6537A1-D6FC-4f65-9D91-7224C49458BB}">
                  <c15:layout>
                    <c:manualLayout>
                      <c:w val="0.3216761053955306"/>
                      <c:h val="0.16146597265931642"/>
                    </c:manualLayout>
                  </c15:layout>
                  <c15:dlblFieldTable/>
                  <c15:showDataLabelsRange val="0"/>
                </c:ext>
                <c:ext xmlns:c16="http://schemas.microsoft.com/office/drawing/2014/chart" uri="{C3380CC4-5D6E-409C-BE32-E72D297353CC}">
                  <c16:uniqueId val="{00000003-E269-4333-9E1C-884815E2444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solidFill>
                    <a:latin typeface="+mn-lt"/>
                    <a:ea typeface="+mn-ea"/>
                    <a:cs typeface="+mn-cs"/>
                  </a:defRPr>
                </a:pPr>
                <a:endParaRPr lang="en-US"/>
              </a:p>
            </c:txPr>
            <c:showLegendKey val="0"/>
            <c:showVal val="1"/>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Table Calculations'!$D$14:$D$16</c:f>
              <c:strCache>
                <c:ptCount val="2"/>
                <c:pt idx="0">
                  <c:v>Booked</c:v>
                </c:pt>
                <c:pt idx="1">
                  <c:v>Cancelled</c:v>
                </c:pt>
              </c:strCache>
            </c:strRef>
          </c:cat>
          <c:val>
            <c:numRef>
              <c:f>'Pivot Table Calculations'!$E$14:$E$16</c:f>
              <c:numCache>
                <c:formatCode>General</c:formatCode>
                <c:ptCount val="2"/>
                <c:pt idx="0">
                  <c:v>362</c:v>
                </c:pt>
                <c:pt idx="1">
                  <c:v>338</c:v>
                </c:pt>
              </c:numCache>
            </c:numRef>
          </c:val>
          <c:extLst>
            <c:ext xmlns:c16="http://schemas.microsoft.com/office/drawing/2014/chart" uri="{C3380CC4-5D6E-409C-BE32-E72D297353CC}">
              <c16:uniqueId val="{00000004-E269-4333-9E1C-884815E2444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42183410009147887"/>
          <c:y val="0.12103415110218457"/>
          <c:w val="0.55332027535994843"/>
          <c:h val="0.10665695433554218"/>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accent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4"/>
      </a:solidFill>
      <a:prstDash val="solid"/>
      <a:round/>
      <a:headEnd type="none" w="med" len="med"/>
      <a:tailEnd type="none" w="med" len="med"/>
    </a:ln>
    <a:effectLst>
      <a:outerShdw blurRad="63500" sx="102000" sy="102000" algn="ctr" rotWithShape="0">
        <a:prstClr val="black">
          <a:alpha val="40000"/>
        </a:prstClr>
      </a:outerShdw>
    </a:effectLst>
  </c:spPr>
  <c:txPr>
    <a:bodyPr/>
    <a:lstStyle/>
    <a:p>
      <a:pPr>
        <a:defRPr>
          <a:solidFill>
            <a:schemeClr val="accent4"/>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[Tour_Package_Sales_Dashboard.xlsx]Pivot Table Calculations!PivotTable28</c:name>
    <c:fmtId val="4"/>
  </c:pivotSource>
  <c:chart>
    <c:title>
      <c:tx>
        <c:rich>
          <a:bodyPr rot="0" spcFirstLastPara="1" vertOverflow="ellipsis" vert="horz" wrap="square" anchor="ctr" anchorCtr="1"/>
          <a:lstStyle/>
          <a:p>
            <a:pPr algn="ctr" rtl="0">
              <a:defRPr lang="en-IN" sz="1600" b="1" i="0" u="none" strike="noStrike" kern="1200" cap="all" spc="100" normalizeH="0" baseline="0">
                <a:solidFill>
                  <a:srgbClr val="8064A2"/>
                </a:solidFill>
                <a:latin typeface="Times New Roman" panose="02020603050405020304" pitchFamily="18" charset="0"/>
                <a:ea typeface="+mn-ea"/>
                <a:cs typeface="Times New Roman" panose="02020603050405020304" pitchFamily="18" charset="0"/>
              </a:defRPr>
            </a:pPr>
            <a:r>
              <a:rPr lang="en-IN" sz="1600" b="1" i="0" u="none" strike="noStrike" kern="1200" baseline="0">
                <a:solidFill>
                  <a:srgbClr val="8064A2"/>
                </a:solidFill>
                <a:latin typeface="Times New Roman" panose="02020603050405020304" pitchFamily="18" charset="0"/>
                <a:ea typeface="+mn-ea"/>
                <a:cs typeface="Times New Roman" panose="02020603050405020304" pitchFamily="18" charset="0"/>
              </a:rPr>
              <a:t>Customer Demographics</a:t>
            </a:r>
          </a:p>
        </c:rich>
      </c:tx>
      <c:overlay val="0"/>
      <c:spPr>
        <a:noFill/>
        <a:ln>
          <a:noFill/>
        </a:ln>
        <a:effectLst/>
      </c:spPr>
      <c:txPr>
        <a:bodyPr rot="0" spcFirstLastPara="1" vertOverflow="ellipsis" vert="horz" wrap="square" anchor="ctr" anchorCtr="1"/>
        <a:lstStyle/>
        <a:p>
          <a:pPr algn="ctr" rtl="0">
            <a:defRPr lang="en-IN" sz="1600" b="1" i="0" u="none" strike="noStrike" kern="1200" cap="all" spc="100" normalizeH="0" baseline="0">
              <a:solidFill>
                <a:srgbClr val="8064A2"/>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rgbClr val="FF99CC"/>
          </a:solidFill>
          <a:ln w="19050">
            <a:solidFill>
              <a:schemeClr val="accent1"/>
            </a:solid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chemeClr val="accent4"/>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5"/>
        <c:spPr>
          <a:solidFill>
            <a:srgbClr val="FF99CC"/>
          </a:solidFill>
          <a:ln w="19050">
            <a:solidFill>
              <a:schemeClr val="accent1"/>
            </a:solidFill>
          </a:ln>
          <a:effectLst/>
        </c:spPr>
        <c:dLbl>
          <c:idx val="0"/>
          <c:layout>
            <c:manualLayout>
              <c:x val="-0.23035798303797092"/>
              <c:y val="3.719818041612723E-3"/>
            </c:manualLayout>
          </c:layout>
          <c:tx>
            <c:rich>
              <a:bodyPr rot="0" spcFirstLastPara="1" vertOverflow="ellipsis" vert="horz" wrap="square" anchor="ctr" anchorCtr="1"/>
              <a:lstStyle/>
              <a:p>
                <a:pPr>
                  <a:defRPr sz="1200" b="1" i="0" u="none" strike="noStrike" kern="1200" baseline="0">
                    <a:solidFill>
                      <a:schemeClr val="accent4"/>
                    </a:solidFill>
                    <a:latin typeface="+mn-lt"/>
                    <a:ea typeface="+mn-ea"/>
                    <a:cs typeface="+mn-cs"/>
                  </a:defRPr>
                </a:pPr>
                <a:fld id="{55435660-F6D4-48C2-990D-46CDE782689A}" type="CATEGORYNAME">
                  <a:rPr lang="en-US" sz="1200"/>
                  <a:pPr>
                    <a:defRPr sz="1200"/>
                  </a:pPr>
                  <a:t>[CATEGORY NAME]</a:t>
                </a:fld>
                <a:r>
                  <a:rPr lang="en-US" sz="1200" baseline="0"/>
                  <a:t>
</a:t>
                </a:r>
                <a:fld id="{4638B2CF-9895-45B1-A428-04227006EA57}" type="PERCENTAGE">
                  <a:rPr lang="en-US" sz="1200" baseline="0"/>
                  <a:pPr>
                    <a:defRPr sz="1200"/>
                  </a:pPr>
                  <a:t>[PERCENTAGE]</a:t>
                </a:fld>
                <a:endParaRPr lang="en-US" sz="1200" baseline="0"/>
              </a:p>
            </c:rich>
          </c:tx>
          <c:spPr>
            <a:noFill/>
            <a:ln>
              <a:noFill/>
            </a:ln>
            <a:effectLst/>
          </c:spPr>
          <c:txPr>
            <a:bodyPr rot="0" spcFirstLastPara="1" vertOverflow="ellipsis" vert="horz" wrap="square" anchor="ctr" anchorCtr="1"/>
            <a:lstStyle/>
            <a:p>
              <a:pPr>
                <a:defRPr sz="1200" b="1" i="0" u="none" strike="noStrike" kern="1200" baseline="0">
                  <a:solidFill>
                    <a:schemeClr val="accent4"/>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6"/>
        <c:spPr>
          <a:solidFill>
            <a:srgbClr val="00B0F0"/>
          </a:solidFill>
          <a:ln w="19050">
            <a:solidFill>
              <a:schemeClr val="accent1"/>
            </a:solidFill>
          </a:ln>
          <a:effectLst/>
        </c:spPr>
        <c:dLbl>
          <c:idx val="0"/>
          <c:layout>
            <c:manualLayout>
              <c:x val="0.2661950837908435"/>
              <c:y val="-3.8103727600088547E-3"/>
            </c:manualLayout>
          </c:layout>
          <c:spPr>
            <a:noFill/>
            <a:ln>
              <a:noFill/>
            </a:ln>
            <a:effectLst/>
          </c:spPr>
          <c:txPr>
            <a:bodyPr rot="0" spcFirstLastPara="1" vertOverflow="ellipsis" vert="horz" wrap="square" anchor="ctr" anchorCtr="1"/>
            <a:lstStyle/>
            <a:p>
              <a:pPr>
                <a:defRPr sz="1200" b="1" i="0" u="none" strike="noStrike" kern="1200" baseline="0">
                  <a:solidFill>
                    <a:schemeClr val="accent4"/>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Table Calculations'!$K$13</c:f>
              <c:strCache>
                <c:ptCount val="1"/>
                <c:pt idx="0">
                  <c:v>Total</c:v>
                </c:pt>
              </c:strCache>
            </c:strRef>
          </c:tx>
          <c:spPr>
            <a:solidFill>
              <a:srgbClr val="FF99CC"/>
            </a:solidFill>
            <a:ln w="19050">
              <a:solidFill>
                <a:schemeClr val="accent1"/>
              </a:solidFill>
            </a:ln>
            <a:effectLst/>
          </c:spPr>
          <c:dPt>
            <c:idx val="0"/>
            <c:bubble3D val="0"/>
            <c:spPr>
              <a:solidFill>
                <a:srgbClr val="FF99CC"/>
              </a:solidFill>
              <a:ln w="19050">
                <a:solidFill>
                  <a:schemeClr val="accent1"/>
                </a:solidFill>
              </a:ln>
              <a:effectLst/>
            </c:spPr>
            <c:extLst>
              <c:ext xmlns:c16="http://schemas.microsoft.com/office/drawing/2014/chart" uri="{C3380CC4-5D6E-409C-BE32-E72D297353CC}">
                <c16:uniqueId val="{00000001-12C4-4876-AF63-D285F10A7C3B}"/>
              </c:ext>
            </c:extLst>
          </c:dPt>
          <c:dPt>
            <c:idx val="1"/>
            <c:bubble3D val="0"/>
            <c:spPr>
              <a:solidFill>
                <a:srgbClr val="00B0F0"/>
              </a:solidFill>
              <a:ln w="19050">
                <a:solidFill>
                  <a:schemeClr val="accent1"/>
                </a:solidFill>
              </a:ln>
              <a:effectLst/>
            </c:spPr>
            <c:extLst>
              <c:ext xmlns:c16="http://schemas.microsoft.com/office/drawing/2014/chart" uri="{C3380CC4-5D6E-409C-BE32-E72D297353CC}">
                <c16:uniqueId val="{00000003-12C4-4876-AF63-D285F10A7C3B}"/>
              </c:ext>
            </c:extLst>
          </c:dPt>
          <c:dLbls>
            <c:dLbl>
              <c:idx val="0"/>
              <c:layout>
                <c:manualLayout>
                  <c:x val="-0.23035798303797092"/>
                  <c:y val="3.719818041612723E-3"/>
                </c:manualLayout>
              </c:layout>
              <c:tx>
                <c:rich>
                  <a:bodyPr/>
                  <a:lstStyle/>
                  <a:p>
                    <a:fld id="{55435660-F6D4-48C2-990D-46CDE782689A}" type="CATEGORYNAME">
                      <a:rPr lang="en-US" sz="1200"/>
                      <a:pPr/>
                      <a:t>[CATEGORY NAME]</a:t>
                    </a:fld>
                    <a:r>
                      <a:rPr lang="en-US" sz="1200" baseline="0"/>
                      <a:t>
</a:t>
                    </a:r>
                    <a:fld id="{4638B2CF-9895-45B1-A428-04227006EA57}" type="PERCENTAGE">
                      <a:rPr lang="en-US" sz="1200" baseline="0"/>
                      <a:pPr/>
                      <a:t>[PERCENTAGE]</a:t>
                    </a:fld>
                    <a:endParaRPr lang="en-US" sz="1200" baseline="0"/>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12C4-4876-AF63-D285F10A7C3B}"/>
                </c:ext>
              </c:extLst>
            </c:dLbl>
            <c:dLbl>
              <c:idx val="1"/>
              <c:layout>
                <c:manualLayout>
                  <c:x val="0.2661950837908435"/>
                  <c:y val="-3.8103727600088547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2C4-4876-AF63-D285F10A7C3B}"/>
                </c:ext>
              </c:extLst>
            </c:dLbl>
            <c:spPr>
              <a:noFill/>
              <a:ln>
                <a:noFill/>
              </a:ln>
              <a:effectLst/>
            </c:spPr>
            <c:txPr>
              <a:bodyPr rot="0" spcFirstLastPara="1" vertOverflow="ellipsis" vert="horz" wrap="square" anchor="ctr" anchorCtr="1"/>
              <a:lstStyle/>
              <a:p>
                <a:pPr>
                  <a:defRPr sz="1200" b="1" i="0" u="none" strike="noStrike" kern="1200" baseline="0">
                    <a:solidFill>
                      <a:schemeClr val="accent4"/>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'Pivot Table Calculations'!$J$14:$J$16</c:f>
              <c:strCache>
                <c:ptCount val="2"/>
                <c:pt idx="0">
                  <c:v>Female</c:v>
                </c:pt>
                <c:pt idx="1">
                  <c:v>Male</c:v>
                </c:pt>
              </c:strCache>
            </c:strRef>
          </c:cat>
          <c:val>
            <c:numRef>
              <c:f>'Pivot Table Calculations'!$K$14:$K$16</c:f>
              <c:numCache>
                <c:formatCode>General</c:formatCode>
                <c:ptCount val="2"/>
                <c:pt idx="0">
                  <c:v>351</c:v>
                </c:pt>
                <c:pt idx="1">
                  <c:v>349</c:v>
                </c:pt>
              </c:numCache>
            </c:numRef>
          </c:val>
          <c:extLst>
            <c:ext xmlns:c16="http://schemas.microsoft.com/office/drawing/2014/chart" uri="{C3380CC4-5D6E-409C-BE32-E72D297353CC}">
              <c16:uniqueId val="{00000004-12C4-4876-AF63-D285F10A7C3B}"/>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4"/>
      </a:solidFill>
      <a:prstDash val="solid"/>
      <a:round/>
      <a:headEnd type="none" w="med" len="med"/>
      <a:tailEnd type="none" w="med" len="med"/>
    </a:ln>
    <a:effectLst>
      <a:outerShdw blurRad="63500" sx="102000" sy="102000" algn="ctr" rotWithShape="0">
        <a:prstClr val="black">
          <a:alpha val="40000"/>
        </a:prstClr>
      </a:outerShdw>
    </a:effectLst>
  </c:spPr>
  <c:txPr>
    <a:bodyPr/>
    <a:lstStyle/>
    <a:p>
      <a:pPr>
        <a:defRPr b="1">
          <a:solidFill>
            <a:schemeClr val="accent4"/>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[Tour_Package_Sales_Dashboard.xlsx]Pivot Table Calculations!PivotTable22</c:name>
    <c:fmtId val="4"/>
  </c:pivotSource>
  <c:chart>
    <c:title>
      <c:tx>
        <c:rich>
          <a:bodyPr rot="0" spcFirstLastPara="1" vertOverflow="ellipsis" vert="horz" wrap="square" anchor="ctr" anchorCtr="1"/>
          <a:lstStyle/>
          <a:p>
            <a:pPr>
              <a:defRPr sz="1800" b="1" i="0" u="none" strike="noStrike" kern="1200" baseline="0">
                <a:solidFill>
                  <a:schemeClr val="accent4"/>
                </a:solidFill>
                <a:latin typeface="Times New Roman" panose="02020603050405020304" pitchFamily="18" charset="0"/>
                <a:ea typeface="+mn-ea"/>
                <a:cs typeface="Times New Roman" panose="02020603050405020304" pitchFamily="18" charset="0"/>
              </a:defRPr>
            </a:pPr>
            <a:r>
              <a:rPr lang="en-IN" sz="1600">
                <a:latin typeface="Times New Roman" panose="02020603050405020304" pitchFamily="18" charset="0"/>
                <a:cs typeface="Times New Roman" panose="02020603050405020304" pitchFamily="18" charset="0"/>
              </a:rPr>
              <a:t>Top 5 Destinations By Revenue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accent4"/>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a:sp3d/>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accent4"/>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w="9525" cap="flat" cmpd="sng" algn="ctr">
          <a:noFill/>
          <a:prstDash val="solid"/>
          <a:round/>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 Calculations'!$E$3</c:f>
              <c:strCache>
                <c:ptCount val="1"/>
                <c:pt idx="0">
                  <c:v>Total</c:v>
                </c:pt>
              </c:strCache>
            </c:strRef>
          </c:tx>
          <c:spPr>
            <a:solidFill>
              <a:schemeClr val="accent3"/>
            </a:solidFill>
            <a:ln>
              <a:noFill/>
            </a:ln>
            <a:effectLst/>
            <a:sp3d/>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accent4"/>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shade val="95000"/>
                          <a:satMod val="105000"/>
                        </a:schemeClr>
                      </a:solidFill>
                      <a:prstDash val="solid"/>
                      <a:round/>
                    </a:ln>
                    <a:effectLst/>
                  </c:spPr>
                </c15:leaderLines>
              </c:ext>
            </c:extLst>
          </c:dLbls>
          <c:cat>
            <c:strRef>
              <c:f>'Pivot Table Calculations'!$D$4:$D$12</c:f>
              <c:strCache>
                <c:ptCount val="8"/>
                <c:pt idx="0">
                  <c:v>Agra</c:v>
                </c:pt>
                <c:pt idx="1">
                  <c:v>Amritsar</c:v>
                </c:pt>
                <c:pt idx="2">
                  <c:v>Bali</c:v>
                </c:pt>
                <c:pt idx="3">
                  <c:v>Dubai</c:v>
                </c:pt>
                <c:pt idx="4">
                  <c:v>Goa</c:v>
                </c:pt>
                <c:pt idx="5">
                  <c:v>Iceland</c:v>
                </c:pt>
                <c:pt idx="6">
                  <c:v>Italy</c:v>
                </c:pt>
                <c:pt idx="7">
                  <c:v>Kashmir</c:v>
                </c:pt>
              </c:strCache>
            </c:strRef>
          </c:cat>
          <c:val>
            <c:numRef>
              <c:f>'Pivot Table Calculations'!$E$4:$E$12</c:f>
              <c:numCache>
                <c:formatCode>General</c:formatCode>
                <c:ptCount val="8"/>
                <c:pt idx="0">
                  <c:v>146800</c:v>
                </c:pt>
                <c:pt idx="1">
                  <c:v>161800</c:v>
                </c:pt>
                <c:pt idx="2">
                  <c:v>4795900</c:v>
                </c:pt>
                <c:pt idx="3">
                  <c:v>5675800</c:v>
                </c:pt>
                <c:pt idx="4">
                  <c:v>3763400</c:v>
                </c:pt>
                <c:pt idx="5">
                  <c:v>4023000</c:v>
                </c:pt>
                <c:pt idx="6">
                  <c:v>2095000</c:v>
                </c:pt>
                <c:pt idx="7">
                  <c:v>300700</c:v>
                </c:pt>
              </c:numCache>
            </c:numRef>
          </c:val>
          <c:extLst>
            <c:ext xmlns:c16="http://schemas.microsoft.com/office/drawing/2014/chart" uri="{C3380CC4-5D6E-409C-BE32-E72D297353CC}">
              <c16:uniqueId val="{00000010-6971-464B-A138-52CDFDD76197}"/>
            </c:ext>
          </c:extLst>
        </c:ser>
        <c:dLbls>
          <c:showLegendKey val="0"/>
          <c:showVal val="1"/>
          <c:showCatName val="0"/>
          <c:showSerName val="0"/>
          <c:showPercent val="0"/>
          <c:showBubbleSize val="0"/>
        </c:dLbls>
        <c:gapWidth val="150"/>
        <c:shape val="box"/>
        <c:axId val="651166239"/>
        <c:axId val="46958063"/>
        <c:axId val="0"/>
      </c:bar3DChart>
      <c:catAx>
        <c:axId val="651166239"/>
        <c:scaling>
          <c:orientation val="minMax"/>
        </c:scaling>
        <c:delete val="0"/>
        <c:axPos val="b"/>
        <c:numFmt formatCode="General" sourceLinked="1"/>
        <c:majorTickMark val="none"/>
        <c:minorTickMark val="none"/>
        <c:tickLblPos val="nextTo"/>
        <c:spPr>
          <a:noFill/>
          <a:ln w="9525" cap="flat" cmpd="sng" algn="ctr">
            <a:noFill/>
            <a:prstDash val="solid"/>
            <a:round/>
          </a:ln>
          <a:effectLst/>
        </c:spPr>
        <c:txPr>
          <a:bodyPr rot="-60000000" spcFirstLastPara="1" vertOverflow="ellipsis" vert="horz" wrap="square" anchor="ctr" anchorCtr="1"/>
          <a:lstStyle/>
          <a:p>
            <a:pPr>
              <a:defRPr sz="1100" b="1" i="0" u="none" strike="noStrike" kern="1200" baseline="0">
                <a:solidFill>
                  <a:schemeClr val="accent4"/>
                </a:solidFill>
                <a:latin typeface="+mn-lt"/>
                <a:ea typeface="+mn-ea"/>
                <a:cs typeface="+mn-cs"/>
              </a:defRPr>
            </a:pPr>
            <a:endParaRPr lang="en-US"/>
          </a:p>
        </c:txPr>
        <c:crossAx val="46958063"/>
        <c:crosses val="autoZero"/>
        <c:auto val="1"/>
        <c:lblAlgn val="ctr"/>
        <c:lblOffset val="100"/>
        <c:noMultiLvlLbl val="0"/>
      </c:catAx>
      <c:valAx>
        <c:axId val="46958063"/>
        <c:scaling>
          <c:orientation val="minMax"/>
        </c:scaling>
        <c:delete val="0"/>
        <c:axPos val="l"/>
        <c:majorGridlines>
          <c:spPr>
            <a:ln w="9525" cap="flat" cmpd="sng" algn="ctr">
              <a:solidFill>
                <a:schemeClr val="tx1">
                  <a:lumMod val="15000"/>
                  <a:lumOff val="85000"/>
                </a:schemeClr>
              </a:solidFill>
              <a:prstDash val="solid"/>
              <a:round/>
            </a:ln>
            <a:effectLst/>
          </c:spPr>
        </c:majorGridlines>
        <c:numFmt formatCode="0.0,,\ &quot;M&quot;" sourceLinked="0"/>
        <c:majorTickMark val="none"/>
        <c:minorTickMark val="none"/>
        <c:tickLblPos val="nextTo"/>
        <c:spPr>
          <a:noFill/>
          <a:ln w="9525" cap="flat" cmpd="sng" algn="ctr">
            <a:noFill/>
            <a:prstDash val="solid"/>
            <a:round/>
          </a:ln>
          <a:effectLst/>
        </c:spPr>
        <c:txPr>
          <a:bodyPr rot="-60000000" spcFirstLastPara="1" vertOverflow="ellipsis" vert="horz" wrap="square" anchor="ctr" anchorCtr="1"/>
          <a:lstStyle/>
          <a:p>
            <a:pPr>
              <a:defRPr sz="1000" b="1" i="0" u="none" strike="noStrike" kern="1200" baseline="0">
                <a:solidFill>
                  <a:schemeClr val="accent4"/>
                </a:solidFill>
                <a:latin typeface="+mn-lt"/>
                <a:ea typeface="+mn-ea"/>
                <a:cs typeface="+mn-cs"/>
              </a:defRPr>
            </a:pPr>
            <a:endParaRPr lang="en-US"/>
          </a:p>
        </c:txPr>
        <c:crossAx val="651166239"/>
        <c:crosses val="autoZero"/>
        <c:crossBetween val="between"/>
      </c:valAx>
      <c:spPr>
        <a:noFill/>
        <a:ln>
          <a:noFill/>
        </a:ln>
        <a:effectLst/>
      </c:spPr>
    </c:plotArea>
    <c:plotVisOnly val="1"/>
    <c:dispBlanksAs val="gap"/>
    <c:showDLblsOverMax val="0"/>
    <c:extLst/>
  </c:chart>
  <c:spPr>
    <a:noFill/>
    <a:ln w="9525" cap="flat" cmpd="sng" algn="ctr">
      <a:solidFill>
        <a:schemeClr val="accent4"/>
      </a:solidFill>
      <a:prstDash val="solid"/>
      <a:round/>
      <a:headEnd type="none" w="med" len="med"/>
      <a:tailEnd type="none" w="med" len="med"/>
    </a:ln>
    <a:effectLst>
      <a:outerShdw blurRad="63500" sx="102000" sy="102000" algn="ctr" rotWithShape="0">
        <a:prstClr val="black">
          <a:alpha val="40000"/>
        </a:prstClr>
      </a:outerShdw>
    </a:effectLst>
  </c:spPr>
  <c:txPr>
    <a:bodyPr/>
    <a:lstStyle/>
    <a:p>
      <a:pPr>
        <a:defRPr>
          <a:solidFill>
            <a:schemeClr val="accent4"/>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[Tour_Package_Sales_Dashboard.xlsx]Pivot Table Calculations!PivotTable26</c:name>
    <c:fmtId val="14"/>
  </c:pivotSource>
  <c:chart>
    <c:title>
      <c:tx>
        <c:rich>
          <a:bodyPr rot="0" spcFirstLastPara="1" vertOverflow="ellipsis" vert="horz" wrap="square" anchor="ctr" anchorCtr="1"/>
          <a:lstStyle/>
          <a:p>
            <a:pPr>
              <a:defRPr sz="1600" b="0" i="0" u="none" strike="noStrike" kern="1200" cap="none" spc="0" normalizeH="0" baseline="0">
                <a:solidFill>
                  <a:schemeClr val="accent4"/>
                </a:solidFill>
                <a:latin typeface="Times New Roman" panose="02020603050405020304" pitchFamily="18" charset="0"/>
                <a:ea typeface="+mn-ea"/>
                <a:cs typeface="Times New Roman" panose="02020603050405020304" pitchFamily="18" charset="0"/>
              </a:defRPr>
            </a:pPr>
            <a:r>
              <a:rPr lang="en-IN" sz="1600" b="1">
                <a:latin typeface="Times New Roman" panose="02020603050405020304" pitchFamily="18" charset="0"/>
                <a:cs typeface="Times New Roman" panose="02020603050405020304" pitchFamily="18" charset="0"/>
              </a:rPr>
              <a:t>Average Package Price By Category</a:t>
            </a:r>
          </a:p>
        </c:rich>
      </c:tx>
      <c:layout>
        <c:manualLayout>
          <c:xMode val="edge"/>
          <c:yMode val="edge"/>
          <c:x val="0.19058552747382518"/>
          <c:y val="6.1820815136692762E-2"/>
        </c:manualLayout>
      </c:layout>
      <c:overlay val="0"/>
      <c:spPr>
        <a:noFill/>
        <a:ln>
          <a:noFill/>
        </a:ln>
        <a:effectLst/>
      </c:spPr>
      <c:txPr>
        <a:bodyPr rot="0" spcFirstLastPara="1" vertOverflow="ellipsis" vert="horz" wrap="square" anchor="ctr" anchorCtr="1"/>
        <a:lstStyle/>
        <a:p>
          <a:pPr>
            <a:defRPr sz="1600" b="0" i="0" u="none" strike="noStrike" kern="1200" cap="none" spc="0" normalizeH="0" baseline="0">
              <a:solidFill>
                <a:schemeClr val="accent4"/>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innerShdw blurRad="63500" dist="50800" dir="13500000">
              <a:prstClr val="black">
                <a:alpha val="50000"/>
              </a:prstClr>
            </a:innerShdw>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accent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Calculations'!$E$20</c:f>
              <c:strCache>
                <c:ptCount val="1"/>
                <c:pt idx="0">
                  <c:v>Total</c:v>
                </c:pt>
              </c:strCache>
            </c:strRef>
          </c:tx>
          <c:spPr>
            <a:solidFill>
              <a:schemeClr val="accent1"/>
            </a:solidFill>
            <a:ln>
              <a:noFill/>
            </a:ln>
            <a:effectLst>
              <a:innerShdw blurRad="63500" dist="50800" dir="13500000">
                <a:prstClr val="black">
                  <a:alpha val="50000"/>
                </a:prstClr>
              </a:innerShdw>
            </a:effectLst>
          </c:spPr>
          <c:invertIfNegative val="0"/>
          <c:dLbls>
            <c:spPr>
              <a:noFill/>
              <a:ln>
                <a:noFill/>
              </a:ln>
              <a:effectLst/>
            </c:spPr>
            <c:txPr>
              <a:bodyPr rot="0" spcFirstLastPara="1" vertOverflow="ellipsis" vert="horz" wrap="square" anchor="ctr" anchorCtr="1"/>
              <a:lstStyle/>
              <a:p>
                <a:pPr>
                  <a:defRPr sz="1000" b="1" i="0" u="none" strike="noStrike" kern="1200" baseline="0">
                    <a:solidFill>
                      <a:schemeClr val="accent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 Calculations'!$D$21:$D$26</c:f>
              <c:strCache>
                <c:ptCount val="5"/>
                <c:pt idx="0">
                  <c:v>Adventure</c:v>
                </c:pt>
                <c:pt idx="1">
                  <c:v>Domestic</c:v>
                </c:pt>
                <c:pt idx="2">
                  <c:v>Family</c:v>
                </c:pt>
                <c:pt idx="3">
                  <c:v>Honeymoon</c:v>
                </c:pt>
                <c:pt idx="4">
                  <c:v>International</c:v>
                </c:pt>
              </c:strCache>
            </c:strRef>
          </c:cat>
          <c:val>
            <c:numRef>
              <c:f>'Pivot Table Calculations'!$E$21:$E$26</c:f>
              <c:numCache>
                <c:formatCode>General</c:formatCode>
                <c:ptCount val="5"/>
                <c:pt idx="0">
                  <c:v>60000</c:v>
                </c:pt>
                <c:pt idx="1">
                  <c:v>18000</c:v>
                </c:pt>
                <c:pt idx="2">
                  <c:v>70000</c:v>
                </c:pt>
                <c:pt idx="3">
                  <c:v>80000</c:v>
                </c:pt>
                <c:pt idx="4">
                  <c:v>120000</c:v>
                </c:pt>
              </c:numCache>
            </c:numRef>
          </c:val>
          <c:extLst>
            <c:ext xmlns:c16="http://schemas.microsoft.com/office/drawing/2014/chart" uri="{C3380CC4-5D6E-409C-BE32-E72D297353CC}">
              <c16:uniqueId val="{00000000-042C-4B51-B41D-E3EAB323E605}"/>
            </c:ext>
          </c:extLst>
        </c:ser>
        <c:dLbls>
          <c:dLblPos val="outEnd"/>
          <c:showLegendKey val="0"/>
          <c:showVal val="1"/>
          <c:showCatName val="0"/>
          <c:showSerName val="0"/>
          <c:showPercent val="0"/>
          <c:showBubbleSize val="0"/>
        </c:dLbls>
        <c:gapWidth val="150"/>
        <c:axId val="479830655"/>
        <c:axId val="1750271503"/>
      </c:barChart>
      <c:catAx>
        <c:axId val="4798306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cap="none" spc="0" normalizeH="0" baseline="0">
                <a:solidFill>
                  <a:schemeClr val="accent4"/>
                </a:solidFill>
                <a:latin typeface="+mn-lt"/>
                <a:ea typeface="+mn-ea"/>
                <a:cs typeface="+mn-cs"/>
              </a:defRPr>
            </a:pPr>
            <a:endParaRPr lang="en-US"/>
          </a:p>
        </c:txPr>
        <c:crossAx val="1750271503"/>
        <c:crosses val="autoZero"/>
        <c:auto val="1"/>
        <c:lblAlgn val="ctr"/>
        <c:lblOffset val="100"/>
        <c:noMultiLvlLbl val="0"/>
      </c:catAx>
      <c:valAx>
        <c:axId val="1750271503"/>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accent4"/>
                </a:solidFill>
                <a:latin typeface="+mn-lt"/>
                <a:ea typeface="+mn-ea"/>
                <a:cs typeface="+mn-cs"/>
              </a:defRPr>
            </a:pPr>
            <a:endParaRPr lang="en-US"/>
          </a:p>
        </c:txPr>
        <c:crossAx val="479830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4"/>
      </a:solidFill>
      <a:prstDash val="solid"/>
      <a:round/>
      <a:headEnd type="none" w="med" len="med"/>
      <a:tailEnd type="none" w="med" len="med"/>
    </a:ln>
    <a:effectLst>
      <a:outerShdw blurRad="63500" sx="102000" sy="102000" algn="ctr" rotWithShape="0">
        <a:prstClr val="black">
          <a:alpha val="40000"/>
        </a:prstClr>
      </a:outerShdw>
    </a:effectLst>
  </c:spPr>
  <c:txPr>
    <a:bodyPr/>
    <a:lstStyle/>
    <a:p>
      <a:pPr>
        <a:defRPr>
          <a:solidFill>
            <a:schemeClr val="accent4"/>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[Tour_Package_Sales_Dashboard.xlsx]Pivot Table Calculations!PivotTable21</c:name>
    <c:fmtId val="4"/>
  </c:pivotSource>
  <c:chart>
    <c:title>
      <c:tx>
        <c:rich>
          <a:bodyPr rot="0" vert="horz"/>
          <a:lstStyle/>
          <a:p>
            <a:pPr>
              <a:defRPr sz="1600">
                <a:latin typeface="Times New Roman" panose="02020603050405020304" pitchFamily="18" charset="0"/>
                <a:cs typeface="Times New Roman" panose="02020603050405020304" pitchFamily="18" charset="0"/>
              </a:defRPr>
            </a:pPr>
            <a:r>
              <a:rPr lang="en-IN" sz="1600">
                <a:latin typeface="Times New Roman" panose="02020603050405020304" pitchFamily="18" charset="0"/>
                <a:cs typeface="Times New Roman" panose="02020603050405020304" pitchFamily="18" charset="0"/>
              </a:rPr>
              <a:t>Bookings By Package Category</a:t>
            </a:r>
          </a:p>
        </c:rich>
      </c:tx>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marker>
          <c:symbol val="none"/>
        </c:marker>
        <c:dLbl>
          <c:idx val="0"/>
          <c:spPr>
            <a:noFill/>
            <a:ln>
              <a:noFill/>
            </a:ln>
            <a:effectLst/>
          </c:spPr>
          <c:txPr>
            <a:bodyPr rot="0" vert="horz"/>
            <a:lstStyle/>
            <a:p>
              <a:pPr>
                <a:defRPr sz="1100" b="1"/>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9"/>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1"/>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2"/>
        <c:spPr>
          <a:solidFill>
            <a:schemeClr val="accent3">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 Calculations'!$B$16</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CBA5-43B6-89FA-09A4F8219A1E}"/>
              </c:ext>
            </c:extLst>
          </c:dPt>
          <c:dPt>
            <c:idx val="1"/>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CBA5-43B6-89FA-09A4F8219A1E}"/>
              </c:ext>
            </c:extLst>
          </c:dPt>
          <c:dPt>
            <c:idx val="2"/>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CBA5-43B6-89FA-09A4F8219A1E}"/>
              </c:ext>
            </c:extLst>
          </c:dPt>
          <c:dPt>
            <c:idx val="3"/>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CBA5-43B6-89FA-09A4F8219A1E}"/>
              </c:ext>
            </c:extLst>
          </c:dPt>
          <c:dPt>
            <c:idx val="4"/>
            <c:bubble3D val="0"/>
            <c:spPr>
              <a:solidFill>
                <a:schemeClr val="accent3">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CBA5-43B6-89FA-09A4F8219A1E}"/>
              </c:ext>
            </c:extLst>
          </c:dPt>
          <c:dLbls>
            <c:spPr>
              <a:noFill/>
              <a:ln>
                <a:noFill/>
              </a:ln>
              <a:effectLst/>
            </c:spPr>
            <c:txPr>
              <a:bodyPr rot="0" vert="horz"/>
              <a:lstStyle/>
              <a:p>
                <a:pPr>
                  <a:defRPr sz="1100" b="1"/>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Calculations'!$A$17:$A$22</c:f>
              <c:strCache>
                <c:ptCount val="5"/>
                <c:pt idx="0">
                  <c:v>Adventure</c:v>
                </c:pt>
                <c:pt idx="1">
                  <c:v>Domestic</c:v>
                </c:pt>
                <c:pt idx="2">
                  <c:v>Family</c:v>
                </c:pt>
                <c:pt idx="3">
                  <c:v>Honeymoon</c:v>
                </c:pt>
                <c:pt idx="4">
                  <c:v>International</c:v>
                </c:pt>
              </c:strCache>
            </c:strRef>
          </c:cat>
          <c:val>
            <c:numRef>
              <c:f>'Pivot Table Calculations'!$B$17:$B$22</c:f>
              <c:numCache>
                <c:formatCode>General</c:formatCode>
                <c:ptCount val="5"/>
                <c:pt idx="0">
                  <c:v>125</c:v>
                </c:pt>
                <c:pt idx="1">
                  <c:v>141</c:v>
                </c:pt>
                <c:pt idx="2">
                  <c:v>139</c:v>
                </c:pt>
                <c:pt idx="3">
                  <c:v>141</c:v>
                </c:pt>
                <c:pt idx="4">
                  <c:v>154</c:v>
                </c:pt>
              </c:numCache>
            </c:numRef>
          </c:val>
          <c:extLst>
            <c:ext xmlns:c16="http://schemas.microsoft.com/office/drawing/2014/chart" uri="{C3380CC4-5D6E-409C-BE32-E72D297353CC}">
              <c16:uniqueId val="{0000000A-CBA5-43B6-89FA-09A4F8219A1E}"/>
            </c:ext>
          </c:extLst>
        </c:ser>
        <c:dLbls>
          <c:dLblPos val="outEnd"/>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4">
          <a:alpha val="70000"/>
        </a:schemeClr>
      </a:solidFill>
      <a:prstDash val="solid"/>
      <a:round/>
      <a:headEnd type="none" w="med" len="med"/>
      <a:tailEnd type="none" w="med" len="med"/>
    </a:ln>
    <a:effectLst>
      <a:outerShdw blurRad="63500" sx="102000" sy="102000" algn="ctr" rotWithShape="0">
        <a:prstClr val="black">
          <a:alpha val="40000"/>
        </a:prstClr>
      </a:outerShdw>
    </a:effectLst>
  </c:spPr>
  <c:txPr>
    <a:bodyPr/>
    <a:lstStyle/>
    <a:p>
      <a:pPr>
        <a:defRPr>
          <a:solidFill>
            <a:schemeClr val="accent4"/>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0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svg"/><Relationship Id="rId13" Type="http://schemas.openxmlformats.org/officeDocument/2006/relationships/chart" Target="../charts/chart7.xml"/><Relationship Id="rId3" Type="http://schemas.openxmlformats.org/officeDocument/2006/relationships/chart" Target="../charts/chart1.xml"/><Relationship Id="rId7" Type="http://schemas.openxmlformats.org/officeDocument/2006/relationships/image" Target="../media/image2.png"/><Relationship Id="rId12" Type="http://schemas.openxmlformats.org/officeDocument/2006/relationships/chart" Target="../charts/chart6.xml"/><Relationship Id="rId2" Type="http://schemas.openxmlformats.org/officeDocument/2006/relationships/hyperlink" Target="https://pixabay.com/en/ocean-sunset-waves-hawaii-beach-144620/" TargetMode="External"/><Relationship Id="rId1" Type="http://schemas.openxmlformats.org/officeDocument/2006/relationships/image" Target="../media/image1.jpg"/><Relationship Id="rId6" Type="http://schemas.openxmlformats.org/officeDocument/2006/relationships/chart" Target="../charts/chart4.xml"/><Relationship Id="rId11" Type="http://schemas.openxmlformats.org/officeDocument/2006/relationships/chart" Target="../charts/chart5.xml"/><Relationship Id="rId5" Type="http://schemas.openxmlformats.org/officeDocument/2006/relationships/chart" Target="../charts/chart3.xml"/><Relationship Id="rId10" Type="http://schemas.openxmlformats.org/officeDocument/2006/relationships/image" Target="../media/image5.svg"/><Relationship Id="rId4" Type="http://schemas.openxmlformats.org/officeDocument/2006/relationships/chart" Target="../charts/chart2.xml"/><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34</xdr:col>
      <xdr:colOff>166855</xdr:colOff>
      <xdr:row>41</xdr:row>
      <xdr:rowOff>130628</xdr:rowOff>
    </xdr:to>
    <xdr:pic>
      <xdr:nvPicPr>
        <xdr:cNvPr id="7" name="Picture 6">
          <a:extLst>
            <a:ext uri="{FF2B5EF4-FFF2-40B4-BE49-F238E27FC236}">
              <a16:creationId xmlns:a16="http://schemas.microsoft.com/office/drawing/2014/main" id="{AD08DF4A-CF60-4490-B0FD-2E562019DEC7}"/>
            </a:ext>
          </a:extLst>
        </xdr:cNvPr>
        <xdr:cNvPicPr>
          <a:picLocks noChangeAspect="1"/>
        </xdr:cNvPicPr>
      </xdr:nvPicPr>
      <xdr:blipFill>
        <a:blip xmlns:r="http://schemas.openxmlformats.org/officeDocument/2006/relationships" r:embed="rId1">
          <a:alphaModFix amt="35000"/>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0" y="0"/>
          <a:ext cx="20893255" cy="7717971"/>
        </a:xfrm>
        <a:prstGeom prst="rect">
          <a:avLst/>
        </a:prstGeom>
      </xdr:spPr>
    </xdr:pic>
    <xdr:clientData/>
  </xdr:twoCellAnchor>
  <xdr:twoCellAnchor>
    <xdr:from>
      <xdr:col>0</xdr:col>
      <xdr:colOff>61547</xdr:colOff>
      <xdr:row>0</xdr:row>
      <xdr:rowOff>36195</xdr:rowOff>
    </xdr:from>
    <xdr:to>
      <xdr:col>29</xdr:col>
      <xdr:colOff>171450</xdr:colOff>
      <xdr:row>4</xdr:row>
      <xdr:rowOff>38100</xdr:rowOff>
    </xdr:to>
    <xdr:sp macro="" textlink="">
      <xdr:nvSpPr>
        <xdr:cNvPr id="10" name="Rectangle: Rounded Corners 9">
          <a:extLst>
            <a:ext uri="{FF2B5EF4-FFF2-40B4-BE49-F238E27FC236}">
              <a16:creationId xmlns:a16="http://schemas.microsoft.com/office/drawing/2014/main" id="{1CA48FE9-4B6A-4163-9DD1-4D67F3C01DDC}"/>
            </a:ext>
          </a:extLst>
        </xdr:cNvPr>
        <xdr:cNvSpPr/>
      </xdr:nvSpPr>
      <xdr:spPr>
        <a:xfrm>
          <a:off x="61547" y="36195"/>
          <a:ext cx="17788303" cy="725805"/>
        </a:xfrm>
        <a:prstGeom prst="roundRect">
          <a:avLst/>
        </a:prstGeom>
        <a:solidFill>
          <a:schemeClr val="accent4">
            <a:lumMod val="75000"/>
          </a:schemeClr>
        </a:solidFill>
      </xdr:spPr>
      <xdr:style>
        <a:lnRef idx="3">
          <a:schemeClr val="lt1"/>
        </a:lnRef>
        <a:fillRef idx="1">
          <a:schemeClr val="accent5"/>
        </a:fillRef>
        <a:effectRef idx="1">
          <a:schemeClr val="accent5"/>
        </a:effectRef>
        <a:fontRef idx="minor">
          <a:schemeClr val="lt1"/>
        </a:fontRef>
      </xdr:style>
      <xdr:txBody>
        <a:bodyPr vertOverflow="clip" horzOverflow="clip" rtlCol="0" anchor="ctr"/>
        <a:lstStyle/>
        <a:p>
          <a:pPr algn="l"/>
          <a:r>
            <a:rPr lang="en-IN" sz="2800" b="1">
              <a:solidFill>
                <a:schemeClr val="bg1"/>
              </a:solidFill>
              <a:latin typeface="Constantia" panose="02030602050306030303" pitchFamily="18" charset="0"/>
            </a:rPr>
            <a:t>                       Tour Package Sales Dashboard</a:t>
          </a:r>
        </a:p>
      </xdr:txBody>
    </xdr:sp>
    <xdr:clientData/>
  </xdr:twoCellAnchor>
  <xdr:twoCellAnchor>
    <xdr:from>
      <xdr:col>3</xdr:col>
      <xdr:colOff>58757</xdr:colOff>
      <xdr:row>19</xdr:row>
      <xdr:rowOff>11902</xdr:rowOff>
    </xdr:from>
    <xdr:to>
      <xdr:col>10</xdr:col>
      <xdr:colOff>542924</xdr:colOff>
      <xdr:row>34</xdr:row>
      <xdr:rowOff>133350</xdr:rowOff>
    </xdr:to>
    <xdr:graphicFrame macro="">
      <xdr:nvGraphicFramePr>
        <xdr:cNvPr id="15" name="Chart 14">
          <a:extLst>
            <a:ext uri="{FF2B5EF4-FFF2-40B4-BE49-F238E27FC236}">
              <a16:creationId xmlns:a16="http://schemas.microsoft.com/office/drawing/2014/main" id="{944B0593-E735-4D69-BEBD-2A8C42A563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561975</xdr:colOff>
      <xdr:row>19</xdr:row>
      <xdr:rowOff>9327</xdr:rowOff>
    </xdr:from>
    <xdr:to>
      <xdr:col>29</xdr:col>
      <xdr:colOff>102192</xdr:colOff>
      <xdr:row>34</xdr:row>
      <xdr:rowOff>103868</xdr:rowOff>
    </xdr:to>
    <xdr:graphicFrame macro="">
      <xdr:nvGraphicFramePr>
        <xdr:cNvPr id="21" name="Chart 20">
          <a:extLst>
            <a:ext uri="{FF2B5EF4-FFF2-40B4-BE49-F238E27FC236}">
              <a16:creationId xmlns:a16="http://schemas.microsoft.com/office/drawing/2014/main" id="{E342A462-A983-4175-A343-3D671F1D44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416018</xdr:colOff>
      <xdr:row>19</xdr:row>
      <xdr:rowOff>19050</xdr:rowOff>
    </xdr:from>
    <xdr:to>
      <xdr:col>19</xdr:col>
      <xdr:colOff>533400</xdr:colOff>
      <xdr:row>34</xdr:row>
      <xdr:rowOff>146504</xdr:rowOff>
    </xdr:to>
    <xdr:graphicFrame macro="">
      <xdr:nvGraphicFramePr>
        <xdr:cNvPr id="23" name="Chart 22">
          <a:extLst>
            <a:ext uri="{FF2B5EF4-FFF2-40B4-BE49-F238E27FC236}">
              <a16:creationId xmlns:a16="http://schemas.microsoft.com/office/drawing/2014/main" id="{07593486-9831-47C0-86C5-F51895C30C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581025</xdr:colOff>
      <xdr:row>19</xdr:row>
      <xdr:rowOff>23677</xdr:rowOff>
    </xdr:from>
    <xdr:to>
      <xdr:col>15</xdr:col>
      <xdr:colOff>387349</xdr:colOff>
      <xdr:row>34</xdr:row>
      <xdr:rowOff>136072</xdr:rowOff>
    </xdr:to>
    <xdr:graphicFrame macro="">
      <xdr:nvGraphicFramePr>
        <xdr:cNvPr id="31" name="Chart 30">
          <a:extLst>
            <a:ext uri="{FF2B5EF4-FFF2-40B4-BE49-F238E27FC236}">
              <a16:creationId xmlns:a16="http://schemas.microsoft.com/office/drawing/2014/main" id="{75FBE4CD-F9F3-4E67-80DB-FDC3DE770F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354059</xdr:colOff>
      <xdr:row>0</xdr:row>
      <xdr:rowOff>93798</xdr:rowOff>
    </xdr:from>
    <xdr:to>
      <xdr:col>2</xdr:col>
      <xdr:colOff>390525</xdr:colOff>
      <xdr:row>4</xdr:row>
      <xdr:rowOff>15964</xdr:rowOff>
    </xdr:to>
    <xdr:pic>
      <xdr:nvPicPr>
        <xdr:cNvPr id="42" name="Graphic 1" descr="Bar graph with upward trend">
          <a:extLst>
            <a:ext uri="{FF2B5EF4-FFF2-40B4-BE49-F238E27FC236}">
              <a16:creationId xmlns:a16="http://schemas.microsoft.com/office/drawing/2014/main" id="{235C6CB0-5E4C-453D-99F7-57389AB381ED}"/>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963659" y="93798"/>
          <a:ext cx="646066" cy="646066"/>
        </a:xfrm>
        <a:prstGeom prst="rect">
          <a:avLst/>
        </a:prstGeom>
      </xdr:spPr>
    </xdr:pic>
    <xdr:clientData/>
  </xdr:twoCellAnchor>
  <xdr:twoCellAnchor editAs="oneCell">
    <xdr:from>
      <xdr:col>13</xdr:col>
      <xdr:colOff>62865</xdr:colOff>
      <xdr:row>0</xdr:row>
      <xdr:rowOff>133351</xdr:rowOff>
    </xdr:from>
    <xdr:to>
      <xdr:col>14</xdr:col>
      <xdr:colOff>19051</xdr:colOff>
      <xdr:row>3</xdr:row>
      <xdr:rowOff>156212</xdr:rowOff>
    </xdr:to>
    <xdr:pic>
      <xdr:nvPicPr>
        <xdr:cNvPr id="44" name="Graphic 1" descr="Airplane">
          <a:extLst>
            <a:ext uri="{FF2B5EF4-FFF2-40B4-BE49-F238E27FC236}">
              <a16:creationId xmlns:a16="http://schemas.microsoft.com/office/drawing/2014/main" id="{B42F5F4B-E609-489E-A314-56012A158667}"/>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7987665" y="133351"/>
          <a:ext cx="565786" cy="565786"/>
        </a:xfrm>
        <a:prstGeom prst="rect">
          <a:avLst/>
        </a:prstGeom>
      </xdr:spPr>
    </xdr:pic>
    <xdr:clientData/>
  </xdr:twoCellAnchor>
  <xdr:twoCellAnchor>
    <xdr:from>
      <xdr:col>0</xdr:col>
      <xdr:colOff>46893</xdr:colOff>
      <xdr:row>4</xdr:row>
      <xdr:rowOff>46893</xdr:rowOff>
    </xdr:from>
    <xdr:to>
      <xdr:col>3</xdr:col>
      <xdr:colOff>36286</xdr:colOff>
      <xdr:row>41</xdr:row>
      <xdr:rowOff>70341</xdr:rowOff>
    </xdr:to>
    <xdr:sp macro="" textlink="">
      <xdr:nvSpPr>
        <xdr:cNvPr id="2" name="Rectangle 1">
          <a:extLst>
            <a:ext uri="{FF2B5EF4-FFF2-40B4-BE49-F238E27FC236}">
              <a16:creationId xmlns:a16="http://schemas.microsoft.com/office/drawing/2014/main" id="{5AB247AE-7431-4CEF-A71E-A836374BCBCB}"/>
            </a:ext>
          </a:extLst>
        </xdr:cNvPr>
        <xdr:cNvSpPr/>
      </xdr:nvSpPr>
      <xdr:spPr>
        <a:xfrm>
          <a:off x="46893" y="772607"/>
          <a:ext cx="1812750" cy="6736305"/>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19</xdr:col>
      <xdr:colOff>533400</xdr:colOff>
      <xdr:row>4</xdr:row>
      <xdr:rowOff>20408</xdr:rowOff>
    </xdr:from>
    <xdr:to>
      <xdr:col>29</xdr:col>
      <xdr:colOff>91305</xdr:colOff>
      <xdr:row>18</xdr:row>
      <xdr:rowOff>142875</xdr:rowOff>
    </xdr:to>
    <xdr:graphicFrame macro="">
      <xdr:nvGraphicFramePr>
        <xdr:cNvPr id="19" name="Chart 18">
          <a:extLst>
            <a:ext uri="{FF2B5EF4-FFF2-40B4-BE49-F238E27FC236}">
              <a16:creationId xmlns:a16="http://schemas.microsoft.com/office/drawing/2014/main" id="{B9C9E0D7-55AD-4827-B2D4-A4CDE060E8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571500</xdr:colOff>
      <xdr:row>4</xdr:row>
      <xdr:rowOff>21043</xdr:rowOff>
    </xdr:from>
    <xdr:to>
      <xdr:col>19</xdr:col>
      <xdr:colOff>495300</xdr:colOff>
      <xdr:row>18</xdr:row>
      <xdr:rowOff>142874</xdr:rowOff>
    </xdr:to>
    <xdr:graphicFrame macro="">
      <xdr:nvGraphicFramePr>
        <xdr:cNvPr id="27" name="Chart 26">
          <a:extLst>
            <a:ext uri="{FF2B5EF4-FFF2-40B4-BE49-F238E27FC236}">
              <a16:creationId xmlns:a16="http://schemas.microsoft.com/office/drawing/2014/main" id="{B338ABDA-C166-43C4-B65E-B561929878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66674</xdr:colOff>
      <xdr:row>4</xdr:row>
      <xdr:rowOff>39182</xdr:rowOff>
    </xdr:from>
    <xdr:to>
      <xdr:col>10</xdr:col>
      <xdr:colOff>523875</xdr:colOff>
      <xdr:row>18</xdr:row>
      <xdr:rowOff>133350</xdr:rowOff>
    </xdr:to>
    <xdr:graphicFrame macro="">
      <xdr:nvGraphicFramePr>
        <xdr:cNvPr id="17" name="Chart 16">
          <a:extLst>
            <a:ext uri="{FF2B5EF4-FFF2-40B4-BE49-F238E27FC236}">
              <a16:creationId xmlns:a16="http://schemas.microsoft.com/office/drawing/2014/main" id="{2F6C8F7D-FA02-4A76-AFFE-BC800481BE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0</xdr:col>
      <xdr:colOff>23447</xdr:colOff>
      <xdr:row>4</xdr:row>
      <xdr:rowOff>35169</xdr:rowOff>
    </xdr:from>
    <xdr:to>
      <xdr:col>3</xdr:col>
      <xdr:colOff>9072</xdr:colOff>
      <xdr:row>13</xdr:row>
      <xdr:rowOff>117929</xdr:rowOff>
    </xdr:to>
    <mc:AlternateContent xmlns:mc="http://schemas.openxmlformats.org/markup-compatibility/2006" xmlns:a14="http://schemas.microsoft.com/office/drawing/2010/main">
      <mc:Choice Requires="a14">
        <xdr:graphicFrame macro="">
          <xdr:nvGraphicFramePr>
            <xdr:cNvPr id="22" name="Package Category">
              <a:extLst>
                <a:ext uri="{FF2B5EF4-FFF2-40B4-BE49-F238E27FC236}">
                  <a16:creationId xmlns:a16="http://schemas.microsoft.com/office/drawing/2014/main" id="{5AE5EAFC-466C-4A23-A931-CA2751FB2F94}"/>
                </a:ext>
              </a:extLst>
            </xdr:cNvPr>
            <xdr:cNvGraphicFramePr/>
          </xdr:nvGraphicFramePr>
          <xdr:xfrm>
            <a:off x="0" y="0"/>
            <a:ext cx="0" cy="0"/>
          </xdr:xfrm>
          <a:graphic>
            <a:graphicData uri="http://schemas.microsoft.com/office/drawing/2010/slicer">
              <sle:slicer xmlns:sle="http://schemas.microsoft.com/office/drawing/2010/slicer" name="Package Category"/>
            </a:graphicData>
          </a:graphic>
        </xdr:graphicFrame>
      </mc:Choice>
      <mc:Fallback xmlns="">
        <xdr:sp macro="" textlink="">
          <xdr:nvSpPr>
            <xdr:cNvPr id="0" name=""/>
            <xdr:cNvSpPr>
              <a:spLocks noTextEdit="1"/>
            </xdr:cNvSpPr>
          </xdr:nvSpPr>
          <xdr:spPr>
            <a:xfrm>
              <a:off x="23447" y="760883"/>
              <a:ext cx="1808982" cy="17156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55962</xdr:colOff>
      <xdr:row>13</xdr:row>
      <xdr:rowOff>145576</xdr:rowOff>
    </xdr:from>
    <xdr:to>
      <xdr:col>3</xdr:col>
      <xdr:colOff>9292</xdr:colOff>
      <xdr:row>24</xdr:row>
      <xdr:rowOff>57150</xdr:rowOff>
    </xdr:to>
    <mc:AlternateContent xmlns:mc="http://schemas.openxmlformats.org/markup-compatibility/2006" xmlns:a14="http://schemas.microsoft.com/office/drawing/2010/main">
      <mc:Choice Requires="a14">
        <xdr:graphicFrame macro="">
          <xdr:nvGraphicFramePr>
            <xdr:cNvPr id="28" name="Month">
              <a:extLst>
                <a:ext uri="{FF2B5EF4-FFF2-40B4-BE49-F238E27FC236}">
                  <a16:creationId xmlns:a16="http://schemas.microsoft.com/office/drawing/2014/main" id="{05316BF8-1D5C-4790-B28C-08CD7737D5B8}"/>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55962" y="2498251"/>
              <a:ext cx="1782130" cy="1902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47625</xdr:colOff>
      <xdr:row>24</xdr:row>
      <xdr:rowOff>86807</xdr:rowOff>
    </xdr:from>
    <xdr:to>
      <xdr:col>2</xdr:col>
      <xdr:colOff>600075</xdr:colOff>
      <xdr:row>34</xdr:row>
      <xdr:rowOff>133350</xdr:rowOff>
    </xdr:to>
    <mc:AlternateContent xmlns:mc="http://schemas.openxmlformats.org/markup-compatibility/2006" xmlns:a14="http://schemas.microsoft.com/office/drawing/2010/main">
      <mc:Choice Requires="a14">
        <xdr:graphicFrame macro="">
          <xdr:nvGraphicFramePr>
            <xdr:cNvPr id="4" name="Age Group">
              <a:extLst>
                <a:ext uri="{FF2B5EF4-FFF2-40B4-BE49-F238E27FC236}">
                  <a16:creationId xmlns:a16="http://schemas.microsoft.com/office/drawing/2014/main" id="{825A4169-0DF0-4727-9033-81209CB7B1C4}"/>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47625" y="4430207"/>
              <a:ext cx="1771650" cy="18562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171450</xdr:colOff>
      <xdr:row>0</xdr:row>
      <xdr:rowOff>95252</xdr:rowOff>
    </xdr:from>
    <xdr:to>
      <xdr:col>19</xdr:col>
      <xdr:colOff>352425</xdr:colOff>
      <xdr:row>3</xdr:row>
      <xdr:rowOff>133351</xdr:rowOff>
    </xdr:to>
    <xdr:sp macro="" textlink="">
      <xdr:nvSpPr>
        <xdr:cNvPr id="3" name="Rectangle: Rounded Corners 2">
          <a:extLst>
            <a:ext uri="{FF2B5EF4-FFF2-40B4-BE49-F238E27FC236}">
              <a16:creationId xmlns:a16="http://schemas.microsoft.com/office/drawing/2014/main" id="{C3F70119-722A-382B-CA52-8D8CACB9E204}"/>
            </a:ext>
          </a:extLst>
        </xdr:cNvPr>
        <xdr:cNvSpPr/>
      </xdr:nvSpPr>
      <xdr:spPr>
        <a:xfrm>
          <a:off x="9315450" y="95252"/>
          <a:ext cx="2619375" cy="581024"/>
        </a:xfrm>
        <a:prstGeom prst="roundRect">
          <a:avLst/>
        </a:prstGeom>
        <a:solidFill>
          <a:schemeClr val="accent4">
            <a:lumMod val="50000"/>
          </a:schemeClr>
        </a:solidFill>
        <a:ln>
          <a:solidFill>
            <a:schemeClr val="bg1"/>
          </a:solidFill>
        </a:ln>
        <a:effectLst>
          <a:glow rad="63500">
            <a:schemeClr val="accent4">
              <a:satMod val="175000"/>
              <a:alpha val="40000"/>
            </a:schemeClr>
          </a:glow>
          <a:outerShdw blurRad="50800" dist="38100" dir="2700000" algn="tl" rotWithShape="0">
            <a:prstClr val="black">
              <a:alpha val="40000"/>
            </a:prstClr>
          </a:outerShdw>
          <a:reflection blurRad="6350" stA="52000" endA="300" endPos="35000" dir="5400000" sy="-100000" algn="bl" rotWithShape="0"/>
        </a:effectLst>
      </xdr:spPr>
      <xdr:style>
        <a:lnRef idx="1">
          <a:schemeClr val="accent4"/>
        </a:lnRef>
        <a:fillRef idx="3">
          <a:schemeClr val="accent4"/>
        </a:fillRef>
        <a:effectRef idx="2">
          <a:schemeClr val="accent4"/>
        </a:effectRef>
        <a:fontRef idx="minor">
          <a:schemeClr val="lt1"/>
        </a:fontRef>
      </xdr:style>
      <xdr:txBody>
        <a:bodyPr vertOverflow="clip" horzOverflow="clip" rtlCol="0" anchor="ctr"/>
        <a:lstStyle/>
        <a:p>
          <a:pPr algn="ctr"/>
          <a:r>
            <a:rPr lang="en-IN" sz="1600" b="1" i="0">
              <a:solidFill>
                <a:schemeClr val="lt1"/>
              </a:solidFill>
              <a:effectLst/>
              <a:latin typeface="+mn-lt"/>
              <a:ea typeface="+mn-ea"/>
              <a:cs typeface="+mn-cs"/>
            </a:rPr>
            <a:t>Total Revenue </a:t>
          </a:r>
          <a:r>
            <a:rPr lang="en-IN" sz="1600" b="1"/>
            <a:t>₹5.49 Cr</a:t>
          </a:r>
          <a:endParaRPr lang="en-IN" sz="1600" b="1">
            <a:solidFill>
              <a:schemeClr val="lt1"/>
            </a:solidFill>
            <a:effectLst/>
            <a:latin typeface="+mn-lt"/>
            <a:ea typeface="+mn-ea"/>
            <a:cs typeface="+mn-cs"/>
          </a:endParaRPr>
        </a:p>
        <a:p>
          <a:pPr algn="ctr"/>
          <a:endParaRPr lang="en-IN" sz="2000" b="1">
            <a:solidFill>
              <a:schemeClr val="bg1"/>
            </a:solidFill>
          </a:endParaRPr>
        </a:p>
      </xdr:txBody>
    </xdr:sp>
    <xdr:clientData/>
  </xdr:twoCellAnchor>
  <xdr:twoCellAnchor>
    <xdr:from>
      <xdr:col>24</xdr:col>
      <xdr:colOff>76201</xdr:colOff>
      <xdr:row>0</xdr:row>
      <xdr:rowOff>95250</xdr:rowOff>
    </xdr:from>
    <xdr:to>
      <xdr:col>28</xdr:col>
      <xdr:colOff>361951</xdr:colOff>
      <xdr:row>3</xdr:row>
      <xdr:rowOff>123825</xdr:rowOff>
    </xdr:to>
    <xdr:sp macro="" textlink="">
      <xdr:nvSpPr>
        <xdr:cNvPr id="14" name="Rectangle: Rounded Corners 13">
          <a:extLst>
            <a:ext uri="{FF2B5EF4-FFF2-40B4-BE49-F238E27FC236}">
              <a16:creationId xmlns:a16="http://schemas.microsoft.com/office/drawing/2014/main" id="{29E255A4-7E5E-D9B1-783D-0198CC1EA529}"/>
            </a:ext>
          </a:extLst>
        </xdr:cNvPr>
        <xdr:cNvSpPr/>
      </xdr:nvSpPr>
      <xdr:spPr>
        <a:xfrm>
          <a:off x="14706601" y="95250"/>
          <a:ext cx="2724150" cy="571500"/>
        </a:xfrm>
        <a:prstGeom prst="roundRect">
          <a:avLst/>
        </a:prstGeom>
        <a:solidFill>
          <a:schemeClr val="accent4">
            <a:lumMod val="50000"/>
          </a:schemeClr>
        </a:solidFill>
        <a:ln>
          <a:solidFill>
            <a:schemeClr val="bg1"/>
          </a:solidFill>
        </a:ln>
        <a:effectLst>
          <a:glow rad="101600">
            <a:schemeClr val="accent4">
              <a:satMod val="175000"/>
              <a:alpha val="40000"/>
            </a:schemeClr>
          </a:glow>
          <a:outerShdw blurRad="50800" dist="38100" dir="2700000" algn="tl" rotWithShape="0">
            <a:prstClr val="black">
              <a:alpha val="40000"/>
            </a:prstClr>
          </a:outerShdw>
          <a:reflection blurRad="6350" stA="52000" endA="300" endPos="35000" dir="5400000" sy="-100000" algn="bl" rotWithShape="0"/>
        </a:effectLst>
      </xdr:spPr>
      <xdr:style>
        <a:lnRef idx="1">
          <a:schemeClr val="accent4"/>
        </a:lnRef>
        <a:fillRef idx="3">
          <a:schemeClr val="accent4"/>
        </a:fillRef>
        <a:effectRef idx="2">
          <a:schemeClr val="accent4"/>
        </a:effectRef>
        <a:fontRef idx="minor">
          <a:schemeClr val="lt1"/>
        </a:fontRef>
      </xdr:style>
      <xdr:txBody>
        <a:bodyPr vertOverflow="clip" horzOverflow="clip" rtlCol="0" anchor="ctr"/>
        <a:lstStyle/>
        <a:p>
          <a:pPr algn="ctr"/>
          <a:r>
            <a:rPr lang="en-IN" sz="1600" b="1"/>
            <a:t>Top Age Group</a:t>
          </a:r>
          <a:r>
            <a:rPr lang="en-IN" sz="1600" b="1" baseline="0"/>
            <a:t> 25-30</a:t>
          </a:r>
          <a:endParaRPr lang="en-IN" sz="1600" b="1"/>
        </a:p>
      </xdr:txBody>
    </xdr:sp>
    <xdr:clientData/>
  </xdr:twoCellAnchor>
  <xdr:twoCellAnchor>
    <xdr:from>
      <xdr:col>19</xdr:col>
      <xdr:colOff>518747</xdr:colOff>
      <xdr:row>0</xdr:row>
      <xdr:rowOff>83820</xdr:rowOff>
    </xdr:from>
    <xdr:to>
      <xdr:col>23</xdr:col>
      <xdr:colOff>542925</xdr:colOff>
      <xdr:row>3</xdr:row>
      <xdr:rowOff>142875</xdr:rowOff>
    </xdr:to>
    <xdr:sp macro="" textlink="">
      <xdr:nvSpPr>
        <xdr:cNvPr id="18" name="Rectangle: Rounded Corners 17">
          <a:extLst>
            <a:ext uri="{FF2B5EF4-FFF2-40B4-BE49-F238E27FC236}">
              <a16:creationId xmlns:a16="http://schemas.microsoft.com/office/drawing/2014/main" id="{57313F4F-511E-480C-B00B-B784780C7DB8}"/>
            </a:ext>
          </a:extLst>
        </xdr:cNvPr>
        <xdr:cNvSpPr/>
      </xdr:nvSpPr>
      <xdr:spPr>
        <a:xfrm>
          <a:off x="12101147" y="83820"/>
          <a:ext cx="2462578" cy="601980"/>
        </a:xfrm>
        <a:prstGeom prst="roundRect">
          <a:avLst/>
        </a:prstGeom>
        <a:solidFill>
          <a:schemeClr val="accent4">
            <a:lumMod val="50000"/>
          </a:schemeClr>
        </a:solidFill>
        <a:ln>
          <a:solidFill>
            <a:schemeClr val="bg1"/>
          </a:solidFill>
        </a:ln>
        <a:effectLst>
          <a:glow rad="101600">
            <a:schemeClr val="accent4">
              <a:satMod val="175000"/>
              <a:alpha val="40000"/>
            </a:schemeClr>
          </a:glow>
          <a:outerShdw blurRad="50800" dist="38100" dir="2700000" algn="tl" rotWithShape="0">
            <a:prstClr val="black">
              <a:alpha val="40000"/>
            </a:prstClr>
          </a:outerShdw>
          <a:reflection blurRad="6350" stA="52000" endA="300" endPos="35000" dir="5400000" sy="-100000" algn="bl" rotWithShape="0"/>
        </a:effectLst>
      </xdr:spPr>
      <xdr:style>
        <a:lnRef idx="1">
          <a:schemeClr val="accent4"/>
        </a:lnRef>
        <a:fillRef idx="3">
          <a:schemeClr val="accent4"/>
        </a:fillRef>
        <a:effectRef idx="2">
          <a:schemeClr val="accent4"/>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600" b="1" i="0">
              <a:solidFill>
                <a:schemeClr val="lt1"/>
              </a:solidFill>
              <a:effectLst/>
              <a:latin typeface="+mn-lt"/>
              <a:ea typeface="+mn-ea"/>
              <a:cs typeface="+mn-cs"/>
            </a:rPr>
            <a:t>Total</a:t>
          </a:r>
          <a:r>
            <a:rPr lang="en-IN" sz="1600" b="1" i="0" baseline="0">
              <a:solidFill>
                <a:schemeClr val="lt1"/>
              </a:solidFill>
              <a:effectLst/>
              <a:latin typeface="+mn-lt"/>
              <a:ea typeface="+mn-ea"/>
              <a:cs typeface="+mn-cs"/>
            </a:rPr>
            <a:t> </a:t>
          </a:r>
          <a:r>
            <a:rPr lang="en-IN" sz="1600" b="1" i="0">
              <a:solidFill>
                <a:schemeClr val="lt1"/>
              </a:solidFill>
              <a:effectLst/>
              <a:latin typeface="+mn-lt"/>
              <a:ea typeface="+mn-ea"/>
              <a:cs typeface="+mn-cs"/>
            </a:rPr>
            <a:t>Booking</a:t>
          </a:r>
          <a:r>
            <a:rPr lang="en-IN" sz="1600" b="1" i="0" baseline="0">
              <a:solidFill>
                <a:schemeClr val="lt1"/>
              </a:solidFill>
              <a:effectLst/>
              <a:latin typeface="+mn-lt"/>
              <a:ea typeface="+mn-ea"/>
              <a:cs typeface="+mn-cs"/>
            </a:rPr>
            <a:t>s </a:t>
          </a:r>
          <a:r>
            <a:rPr lang="en-IN" sz="1600" b="1" i="0">
              <a:solidFill>
                <a:schemeClr val="lt1"/>
              </a:solidFill>
              <a:effectLst/>
              <a:latin typeface="+mn-lt"/>
              <a:ea typeface="+mn-ea"/>
              <a:cs typeface="+mn-cs"/>
            </a:rPr>
            <a:t>700</a:t>
          </a:r>
          <a:r>
            <a:rPr lang="en-IN" sz="1600" b="1">
              <a:solidFill>
                <a:schemeClr val="lt1"/>
              </a:solidFill>
              <a:effectLst/>
              <a:latin typeface="+mn-lt"/>
              <a:ea typeface="+mn-ea"/>
              <a:cs typeface="+mn-cs"/>
            </a:rPr>
            <a:t> </a:t>
          </a:r>
          <a:endParaRPr lang="en-IN" sz="2400">
            <a:effectLst/>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pu E" refreshedDate="45919.037038541668" createdVersion="6" refreshedVersion="6" minRefreshableVersion="3" recordCount="700" xr:uid="{2944DF35-0045-4B23-9FAE-8C6AA1A5BCE3}">
  <cacheSource type="worksheet">
    <worksheetSource ref="A2:V702" sheet="Data"/>
  </cacheSource>
  <cacheFields count="22">
    <cacheField name="Booking ID" numFmtId="0">
      <sharedItems/>
    </cacheField>
    <cacheField name="Customer Name" numFmtId="0">
      <sharedItems/>
    </cacheField>
    <cacheField name="Age" numFmtId="0">
      <sharedItems containsSemiMixedTypes="0" containsString="0" containsNumber="1" containsInteger="1" minValue="18" maxValue="60"/>
    </cacheField>
    <cacheField name="Gender" numFmtId="0">
      <sharedItems count="2">
        <s v="Male"/>
        <s v="Female"/>
      </sharedItems>
    </cacheField>
    <cacheField name="Package Category" numFmtId="0">
      <sharedItems count="5">
        <s v="Domestic"/>
        <s v="Adventure"/>
        <s v="Honeymoon"/>
        <s v="International"/>
        <s v="Family"/>
      </sharedItems>
    </cacheField>
    <cacheField name="Destination" numFmtId="0">
      <sharedItems count="21">
        <s v="Manali"/>
        <s v="Maldives"/>
        <s v="Dubai"/>
        <s v="Italy"/>
        <s v="Kerala"/>
        <s v="Goa"/>
        <s v="Agra"/>
        <s v="Bali"/>
        <s v="Thailand"/>
        <s v="Iceland"/>
        <s v="Singapore"/>
        <s v="Paris"/>
        <s v="Leh-Ladakh"/>
        <s v="Rajasthan"/>
        <s v="Varanasi"/>
        <s v="Ooty"/>
        <s v="Amritsar"/>
        <s v="Shimla"/>
        <s v="Matheran"/>
        <s v="Kashmir"/>
        <s v="Uttrakhand"/>
      </sharedItems>
    </cacheField>
    <cacheField name="Booking Date" numFmtId="0">
      <sharedItems containsDate="1" containsMixedTypes="1" minDate="2025-07-10T00:00:00" maxDate="2025-07-11T00:00:00"/>
    </cacheField>
    <cacheField name="Travel Start Date" numFmtId="0">
      <sharedItems/>
    </cacheField>
    <cacheField name="Travel End Date" numFmtId="0">
      <sharedItems containsDate="1" containsMixedTypes="1" minDate="2025-01-22T00:00:00" maxDate="2025-08-23T00:00:00"/>
    </cacheField>
    <cacheField name="No. of Days" numFmtId="0">
      <sharedItems containsSemiMixedTypes="0" containsString="0" containsNumber="1" containsInteger="1" minValue="4" maxValue="10" count="5">
        <n v="4"/>
        <n v="5"/>
        <n v="8"/>
        <n v="10"/>
        <n v="7"/>
      </sharedItems>
    </cacheField>
    <cacheField name="Price" numFmtId="164">
      <sharedItems containsSemiMixedTypes="0" containsString="0" containsNumber="1" containsInteger="1" minValue="18000" maxValue="120000"/>
    </cacheField>
    <cacheField name="Quantity" numFmtId="0">
      <sharedItems containsSemiMixedTypes="0" containsString="0" containsNumber="1" containsInteger="1" minValue="1" maxValue="5"/>
    </cacheField>
    <cacheField name="Total Amount" numFmtId="164">
      <sharedItems containsSemiMixedTypes="0" containsString="0" containsNumber="1" containsInteger="1" minValue="18000" maxValue="480000"/>
    </cacheField>
    <cacheField name="Cost Amount" numFmtId="164">
      <sharedItems containsSemiMixedTypes="0" containsString="0" containsNumber="1" containsInteger="1" minValue="9000" maxValue="312000"/>
    </cacheField>
    <cacheField name="Status" numFmtId="0">
      <sharedItems count="2">
        <s v="Booked"/>
        <s v="Cancelled"/>
      </sharedItems>
    </cacheField>
    <cacheField name="Discount %" numFmtId="9">
      <sharedItems containsSemiMixedTypes="0" containsString="0" containsNumber="1" minValue="0" maxValue="0.15" count="6">
        <n v="0.05"/>
        <n v="0"/>
        <n v="0.1"/>
        <n v="0.12"/>
        <n v="0.15"/>
        <n v="7.0000000000000007E-2"/>
      </sharedItems>
    </cacheField>
    <cacheField name="Discount Amount" numFmtId="164">
      <sharedItems containsSemiMixedTypes="0" containsString="0" containsNumber="1" minValue="0" maxValue="72000"/>
    </cacheField>
    <cacheField name="Net Revenue" numFmtId="164">
      <sharedItems containsSemiMixedTypes="0" containsString="0" containsNumber="1" containsInteger="1" minValue="5000" maxValue="408000" count="19">
        <n v="17100"/>
        <n v="5000"/>
        <n v="216000"/>
        <n v="140800"/>
        <n v="102000"/>
        <n v="51300"/>
        <n v="108000"/>
        <n v="130200"/>
        <n v="204000"/>
        <n v="65100"/>
        <n v="260400"/>
        <n v="408000"/>
        <n v="162000"/>
        <n v="195300"/>
        <n v="34200"/>
        <n v="54000"/>
        <n v="68400"/>
        <n v="306000"/>
        <n v="281600"/>
      </sharedItems>
    </cacheField>
    <cacheField name="Profit" numFmtId="164">
      <sharedItems count="2">
        <s v="Profit"/>
        <s v="Loss"/>
      </sharedItems>
    </cacheField>
    <cacheField name="Month" numFmtId="0">
      <sharedItems count="8">
        <s v="Jul"/>
        <s v="Jan"/>
        <s v="May"/>
        <s v="Jun"/>
        <s v="Apr"/>
        <s v="Aug"/>
        <s v="Mar"/>
        <s v="Feb"/>
      </sharedItems>
    </cacheField>
    <cacheField name="Year" numFmtId="0">
      <sharedItems containsSemiMixedTypes="0" containsString="0" containsNumber="1" containsInteger="1" minValue="2025" maxValue="2025"/>
    </cacheField>
    <cacheField name="Age Group" numFmtId="0">
      <sharedItems count="10">
        <s v="30-35"/>
        <s v="25-30"/>
        <s v="45-50"/>
        <s v="40-45"/>
        <s v="55-60"/>
        <s v="50-55"/>
        <s v="20-25"/>
        <s v="35-40"/>
        <s v="15-20"/>
        <s v="60-65"/>
      </sharedItems>
    </cacheField>
  </cacheFields>
  <extLst>
    <ext xmlns:x14="http://schemas.microsoft.com/office/spreadsheetml/2009/9/main" uri="{725AE2AE-9491-48be-B2B4-4EB974FC3084}">
      <x14:pivotCacheDefinition pivotCacheId="7724197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s v="B001"/>
    <s v="Kabir Mishra"/>
    <n v="33"/>
    <x v="0"/>
    <x v="0"/>
    <x v="0"/>
    <s v="08-07-2025"/>
    <s v="03-08-2025"/>
    <s v="07-08-2025"/>
    <x v="0"/>
    <n v="18000"/>
    <n v="1"/>
    <n v="18000"/>
    <n v="9000"/>
    <x v="0"/>
    <x v="0"/>
    <n v="900"/>
    <x v="0"/>
    <x v="0"/>
    <x v="0"/>
    <n v="2025"/>
    <x v="0"/>
  </r>
  <r>
    <s v="B002"/>
    <s v="Ananya Bose"/>
    <n v="29"/>
    <x v="1"/>
    <x v="1"/>
    <x v="0"/>
    <s v="08-01-2025"/>
    <s v="22-01-2025"/>
    <d v="2025-01-27T00:00:00"/>
    <x v="1"/>
    <n v="60000"/>
    <n v="2"/>
    <n v="120000"/>
    <n v="78000"/>
    <x v="1"/>
    <x v="1"/>
    <n v="0"/>
    <x v="1"/>
    <x v="1"/>
    <x v="1"/>
    <n v="2025"/>
    <x v="1"/>
  </r>
  <r>
    <s v="B003"/>
    <s v="Krishna Bose"/>
    <n v="25"/>
    <x v="0"/>
    <x v="1"/>
    <x v="1"/>
    <s v="19-05-2025"/>
    <s v="14-06-2025"/>
    <d v="2025-06-19T00:00:00"/>
    <x v="1"/>
    <n v="60000"/>
    <n v="4"/>
    <n v="240000"/>
    <n v="156000"/>
    <x v="0"/>
    <x v="2"/>
    <n v="24000"/>
    <x v="2"/>
    <x v="0"/>
    <x v="2"/>
    <n v="2025"/>
    <x v="1"/>
  </r>
  <r>
    <s v="B004"/>
    <s v="Meera Bose"/>
    <n v="28"/>
    <x v="1"/>
    <x v="2"/>
    <x v="2"/>
    <s v="23-06-2025"/>
    <s v="19-07-2025"/>
    <d v="2025-07-27T00:00:00"/>
    <x v="2"/>
    <n v="80000"/>
    <n v="2"/>
    <n v="160000"/>
    <n v="96000"/>
    <x v="0"/>
    <x v="3"/>
    <n v="19200"/>
    <x v="3"/>
    <x v="0"/>
    <x v="3"/>
    <n v="2025"/>
    <x v="1"/>
  </r>
  <r>
    <s v="B005"/>
    <s v="Isha Gupta"/>
    <n v="47"/>
    <x v="1"/>
    <x v="3"/>
    <x v="3"/>
    <s v="05-04-2025"/>
    <s v="26-04-2025"/>
    <s v="06-05-2025"/>
    <x v="3"/>
    <n v="120000"/>
    <n v="1"/>
    <n v="120000"/>
    <n v="78000"/>
    <x v="0"/>
    <x v="4"/>
    <n v="18000"/>
    <x v="4"/>
    <x v="0"/>
    <x v="4"/>
    <n v="2025"/>
    <x v="2"/>
  </r>
  <r>
    <s v="B006"/>
    <s v="Aditya Agarwal"/>
    <n v="40"/>
    <x v="0"/>
    <x v="1"/>
    <x v="2"/>
    <s v="06-04-2025"/>
    <s v="14-04-2025"/>
    <d v="2025-04-19T00:00:00"/>
    <x v="1"/>
    <n v="60000"/>
    <n v="1"/>
    <n v="60000"/>
    <n v="39000"/>
    <x v="1"/>
    <x v="1"/>
    <n v="0"/>
    <x v="1"/>
    <x v="1"/>
    <x v="4"/>
    <n v="2025"/>
    <x v="3"/>
  </r>
  <r>
    <s v="B007"/>
    <s v="Aditya Iyer"/>
    <n v="25"/>
    <x v="0"/>
    <x v="2"/>
    <x v="1"/>
    <s v="02-05-2025"/>
    <s v="26-05-2025"/>
    <d v="2025-06-03T00:00:00"/>
    <x v="2"/>
    <n v="80000"/>
    <n v="2"/>
    <n v="160000"/>
    <n v="96000"/>
    <x v="0"/>
    <x v="3"/>
    <n v="19200"/>
    <x v="3"/>
    <x v="0"/>
    <x v="2"/>
    <n v="2025"/>
    <x v="1"/>
  </r>
  <r>
    <s v="B008"/>
    <s v="Manish Rathod"/>
    <n v="57"/>
    <x v="0"/>
    <x v="0"/>
    <x v="4"/>
    <s v="22-06-2025"/>
    <s v="15-07-2025"/>
    <s v="19-07-2025"/>
    <x v="0"/>
    <n v="18000"/>
    <n v="3"/>
    <n v="54000"/>
    <n v="27000"/>
    <x v="0"/>
    <x v="0"/>
    <n v="2700"/>
    <x v="5"/>
    <x v="0"/>
    <x v="3"/>
    <n v="2025"/>
    <x v="4"/>
  </r>
  <r>
    <s v="B009"/>
    <s v="Rohan Kulkarni"/>
    <n v="30"/>
    <x v="0"/>
    <x v="2"/>
    <x v="5"/>
    <s v="31-01-2025"/>
    <s v="18-02-2025"/>
    <d v="2025-02-26T00:00:00"/>
    <x v="2"/>
    <n v="80000"/>
    <n v="2"/>
    <n v="160000"/>
    <n v="96000"/>
    <x v="1"/>
    <x v="1"/>
    <n v="0"/>
    <x v="1"/>
    <x v="1"/>
    <x v="1"/>
    <n v="2025"/>
    <x v="0"/>
  </r>
  <r>
    <s v="B010"/>
    <s v="Manish Menon"/>
    <n v="31"/>
    <x v="0"/>
    <x v="0"/>
    <x v="6"/>
    <s v="02-06-2025"/>
    <s v="01-07-2025"/>
    <d v="2025-07-05T00:00:00"/>
    <x v="0"/>
    <n v="18000"/>
    <n v="1"/>
    <n v="18000"/>
    <n v="9000"/>
    <x v="0"/>
    <x v="0"/>
    <n v="900"/>
    <x v="0"/>
    <x v="0"/>
    <x v="3"/>
    <n v="2025"/>
    <x v="0"/>
  </r>
  <r>
    <s v="B011"/>
    <s v="Sanya Chowdhury"/>
    <n v="26"/>
    <x v="1"/>
    <x v="1"/>
    <x v="7"/>
    <s v="07-05-2025"/>
    <s v="26-05-2025"/>
    <d v="2025-05-31T00:00:00"/>
    <x v="1"/>
    <n v="60000"/>
    <n v="4"/>
    <n v="240000"/>
    <n v="156000"/>
    <x v="0"/>
    <x v="2"/>
    <n v="24000"/>
    <x v="2"/>
    <x v="0"/>
    <x v="2"/>
    <n v="2025"/>
    <x v="1"/>
  </r>
  <r>
    <s v="B012"/>
    <s v="Diya Das"/>
    <n v="30"/>
    <x v="1"/>
    <x v="1"/>
    <x v="8"/>
    <s v="17-06-2025"/>
    <s v="25-06-2025"/>
    <d v="2025-06-30T00:00:00"/>
    <x v="1"/>
    <n v="60000"/>
    <n v="2"/>
    <n v="120000"/>
    <n v="78000"/>
    <x v="0"/>
    <x v="2"/>
    <n v="12000"/>
    <x v="6"/>
    <x v="0"/>
    <x v="3"/>
    <n v="2025"/>
    <x v="0"/>
  </r>
  <r>
    <s v="B013"/>
    <s v="Kabir Das"/>
    <n v="54"/>
    <x v="0"/>
    <x v="4"/>
    <x v="5"/>
    <s v="05-05-2025"/>
    <s v="01-06-2025"/>
    <s v="08-06-2025"/>
    <x v="4"/>
    <n v="70000"/>
    <n v="2"/>
    <n v="140000"/>
    <n v="84000"/>
    <x v="0"/>
    <x v="5"/>
    <n v="9800.0000000000018"/>
    <x v="7"/>
    <x v="0"/>
    <x v="2"/>
    <n v="2025"/>
    <x v="5"/>
  </r>
  <r>
    <s v="B014"/>
    <s v="Karan Kapoor"/>
    <n v="26"/>
    <x v="0"/>
    <x v="2"/>
    <x v="5"/>
    <s v="28-04-2025"/>
    <s v="17-05-2025"/>
    <d v="2025-05-25T00:00:00"/>
    <x v="2"/>
    <n v="80000"/>
    <n v="2"/>
    <n v="160000"/>
    <n v="96000"/>
    <x v="0"/>
    <x v="3"/>
    <n v="19200"/>
    <x v="3"/>
    <x v="0"/>
    <x v="4"/>
    <n v="2025"/>
    <x v="1"/>
  </r>
  <r>
    <s v="B015"/>
    <s v="Manish Jain"/>
    <n v="29"/>
    <x v="0"/>
    <x v="2"/>
    <x v="0"/>
    <s v="26-05-2025"/>
    <s v="14-06-2025"/>
    <d v="2025-06-22T00:00:00"/>
    <x v="2"/>
    <n v="80000"/>
    <n v="2"/>
    <n v="160000"/>
    <n v="96000"/>
    <x v="1"/>
    <x v="1"/>
    <n v="0"/>
    <x v="1"/>
    <x v="1"/>
    <x v="2"/>
    <n v="2025"/>
    <x v="1"/>
  </r>
  <r>
    <s v="B016"/>
    <s v="Komal Patel"/>
    <n v="21"/>
    <x v="1"/>
    <x v="1"/>
    <x v="0"/>
    <s v="09-01-2025"/>
    <s v="27-01-2025"/>
    <d v="2025-02-01T00:00:00"/>
    <x v="1"/>
    <n v="60000"/>
    <n v="2"/>
    <n v="120000"/>
    <n v="78000"/>
    <x v="0"/>
    <x v="2"/>
    <n v="12000"/>
    <x v="6"/>
    <x v="0"/>
    <x v="1"/>
    <n v="2025"/>
    <x v="6"/>
  </r>
  <r>
    <s v="B017"/>
    <s v="Aarav Agarwal"/>
    <n v="27"/>
    <x v="0"/>
    <x v="3"/>
    <x v="9"/>
    <s v="20-05-2025"/>
    <s v="03-06-2025"/>
    <d v="2025-06-13T00:00:00"/>
    <x v="3"/>
    <n v="120000"/>
    <n v="1"/>
    <n v="120000"/>
    <n v="78000"/>
    <x v="0"/>
    <x v="4"/>
    <n v="18000"/>
    <x v="4"/>
    <x v="0"/>
    <x v="2"/>
    <n v="2025"/>
    <x v="1"/>
  </r>
  <r>
    <s v="B018"/>
    <s v="Sameer Khan"/>
    <n v="25"/>
    <x v="0"/>
    <x v="2"/>
    <x v="2"/>
    <s v="05-08-2025"/>
    <s v="14-08-2025"/>
    <d v="2025-08-22T00:00:00"/>
    <x v="2"/>
    <n v="80000"/>
    <n v="2"/>
    <n v="160000"/>
    <n v="96000"/>
    <x v="1"/>
    <x v="1"/>
    <n v="0"/>
    <x v="1"/>
    <x v="1"/>
    <x v="5"/>
    <n v="2025"/>
    <x v="1"/>
  </r>
  <r>
    <s v="B019"/>
    <s v="Pooja Menon"/>
    <n v="58"/>
    <x v="1"/>
    <x v="3"/>
    <x v="10"/>
    <s v="15-03-2025"/>
    <s v="23-03-2025"/>
    <d v="2025-04-02T00:00:00"/>
    <x v="3"/>
    <n v="120000"/>
    <n v="2"/>
    <n v="240000"/>
    <n v="156000"/>
    <x v="0"/>
    <x v="4"/>
    <n v="36000"/>
    <x v="8"/>
    <x v="0"/>
    <x v="6"/>
    <n v="2025"/>
    <x v="4"/>
  </r>
  <r>
    <s v="B020"/>
    <s v="Krishna Khan"/>
    <n v="37"/>
    <x v="0"/>
    <x v="4"/>
    <x v="11"/>
    <s v="09-05-2025"/>
    <s v="16-05-2025"/>
    <s v="23-05-2025"/>
    <x v="4"/>
    <n v="70000"/>
    <n v="2"/>
    <n v="140000"/>
    <n v="84000"/>
    <x v="0"/>
    <x v="5"/>
    <n v="9800.0000000000018"/>
    <x v="7"/>
    <x v="0"/>
    <x v="2"/>
    <n v="2025"/>
    <x v="7"/>
  </r>
  <r>
    <s v="B021"/>
    <s v="Kavya Kapoor"/>
    <n v="54"/>
    <x v="1"/>
    <x v="1"/>
    <x v="2"/>
    <s v="18-03-2025"/>
    <s v="07-04-2025"/>
    <d v="2025-04-12T00:00:00"/>
    <x v="1"/>
    <n v="60000"/>
    <n v="1"/>
    <n v="60000"/>
    <n v="39000"/>
    <x v="1"/>
    <x v="1"/>
    <n v="0"/>
    <x v="1"/>
    <x v="1"/>
    <x v="6"/>
    <n v="2025"/>
    <x v="5"/>
  </r>
  <r>
    <s v="B022"/>
    <s v="Sanya Agarwal"/>
    <n v="24"/>
    <x v="1"/>
    <x v="2"/>
    <x v="4"/>
    <s v="09-05-2025"/>
    <s v="27-05-2025"/>
    <d v="2025-06-04T00:00:00"/>
    <x v="2"/>
    <n v="80000"/>
    <n v="2"/>
    <n v="160000"/>
    <n v="96000"/>
    <x v="0"/>
    <x v="3"/>
    <n v="19200"/>
    <x v="3"/>
    <x v="0"/>
    <x v="2"/>
    <n v="2025"/>
    <x v="6"/>
  </r>
  <r>
    <s v="B023"/>
    <s v="Aditi Jain"/>
    <n v="30"/>
    <x v="1"/>
    <x v="2"/>
    <x v="11"/>
    <s v="28-06-2025"/>
    <s v="21-07-2025"/>
    <s v="29-07-2025"/>
    <x v="2"/>
    <n v="80000"/>
    <n v="2"/>
    <n v="160000"/>
    <n v="96000"/>
    <x v="0"/>
    <x v="3"/>
    <n v="19200"/>
    <x v="3"/>
    <x v="0"/>
    <x v="3"/>
    <n v="2025"/>
    <x v="0"/>
  </r>
  <r>
    <s v="B024"/>
    <s v="Nisha Mishra"/>
    <n v="21"/>
    <x v="1"/>
    <x v="3"/>
    <x v="1"/>
    <s v="04-01-2025"/>
    <s v="12-01-2025"/>
    <d v="2025-01-22T00:00:00"/>
    <x v="3"/>
    <n v="120000"/>
    <n v="2"/>
    <n v="240000"/>
    <n v="156000"/>
    <x v="0"/>
    <x v="4"/>
    <n v="36000"/>
    <x v="8"/>
    <x v="0"/>
    <x v="1"/>
    <n v="2025"/>
    <x v="6"/>
  </r>
  <r>
    <s v="B025"/>
    <s v="Aditya Khan"/>
    <n v="35"/>
    <x v="0"/>
    <x v="4"/>
    <x v="7"/>
    <s v="28-06-2025"/>
    <s v="14-07-2025"/>
    <d v="2025-07-21T00:00:00"/>
    <x v="4"/>
    <n v="70000"/>
    <n v="1"/>
    <n v="70000"/>
    <n v="42000"/>
    <x v="0"/>
    <x v="5"/>
    <n v="4900.0000000000009"/>
    <x v="9"/>
    <x v="0"/>
    <x v="3"/>
    <n v="2025"/>
    <x v="7"/>
  </r>
  <r>
    <s v="B026"/>
    <s v="Anil Reddy"/>
    <n v="39"/>
    <x v="0"/>
    <x v="3"/>
    <x v="8"/>
    <s v="19-07-2025"/>
    <s v="31-07-2025"/>
    <d v="2025-08-10T00:00:00"/>
    <x v="3"/>
    <n v="120000"/>
    <n v="3"/>
    <n v="360000"/>
    <n v="234000"/>
    <x v="1"/>
    <x v="1"/>
    <n v="0"/>
    <x v="1"/>
    <x v="1"/>
    <x v="0"/>
    <n v="2025"/>
    <x v="7"/>
  </r>
  <r>
    <s v="B027"/>
    <s v="Sameer Bose"/>
    <n v="25"/>
    <x v="0"/>
    <x v="1"/>
    <x v="5"/>
    <s v="19-03-2025"/>
    <s v="28-03-2025"/>
    <d v="2025-04-02T00:00:00"/>
    <x v="1"/>
    <n v="60000"/>
    <n v="2"/>
    <n v="120000"/>
    <n v="78000"/>
    <x v="0"/>
    <x v="2"/>
    <n v="12000"/>
    <x v="6"/>
    <x v="0"/>
    <x v="6"/>
    <n v="2025"/>
    <x v="1"/>
  </r>
  <r>
    <s v="B028"/>
    <s v="Swati Tripathi"/>
    <n v="23"/>
    <x v="1"/>
    <x v="3"/>
    <x v="10"/>
    <s v="30-01-2025"/>
    <s v="18-02-2025"/>
    <s v="27-02-2025"/>
    <x v="3"/>
    <n v="120000"/>
    <n v="3"/>
    <n v="360000"/>
    <n v="234000"/>
    <x v="1"/>
    <x v="1"/>
    <n v="0"/>
    <x v="1"/>
    <x v="1"/>
    <x v="1"/>
    <n v="2025"/>
    <x v="6"/>
  </r>
  <r>
    <s v="B029"/>
    <s v="Sneha Patel"/>
    <n v="18"/>
    <x v="1"/>
    <x v="4"/>
    <x v="8"/>
    <s v="13-03-2025"/>
    <s v="26-03-2025"/>
    <s v="05-04-2025"/>
    <x v="4"/>
    <n v="70000"/>
    <n v="4"/>
    <n v="280000"/>
    <n v="168000"/>
    <x v="0"/>
    <x v="5"/>
    <n v="19600.000000000004"/>
    <x v="10"/>
    <x v="0"/>
    <x v="6"/>
    <n v="2025"/>
    <x v="8"/>
  </r>
  <r>
    <s v="B030"/>
    <s v="Swati Mishra"/>
    <n v="31"/>
    <x v="1"/>
    <x v="2"/>
    <x v="0"/>
    <s v="03-02-2025"/>
    <s v="18-02-2025"/>
    <s v="28-02-2025"/>
    <x v="2"/>
    <n v="80000"/>
    <n v="2"/>
    <n v="160000"/>
    <n v="96000"/>
    <x v="0"/>
    <x v="3"/>
    <n v="19200"/>
    <x v="3"/>
    <x v="0"/>
    <x v="7"/>
    <n v="2025"/>
    <x v="0"/>
  </r>
  <r>
    <s v="B031"/>
    <s v="Swati Agarwal"/>
    <n v="39"/>
    <x v="1"/>
    <x v="3"/>
    <x v="9"/>
    <s v="07-07-2025"/>
    <s v="16-07-2025"/>
    <s v="22-07-2025"/>
    <x v="3"/>
    <n v="120000"/>
    <n v="4"/>
    <n v="480000"/>
    <n v="312000"/>
    <x v="0"/>
    <x v="4"/>
    <n v="72000"/>
    <x v="11"/>
    <x v="0"/>
    <x v="0"/>
    <n v="2025"/>
    <x v="7"/>
  </r>
  <r>
    <s v="B032"/>
    <s v="Ramesh Bose"/>
    <n v="21"/>
    <x v="0"/>
    <x v="0"/>
    <x v="5"/>
    <s v="01-06-2025"/>
    <s v="29-06-2025"/>
    <s v="02-07-2025"/>
    <x v="0"/>
    <n v="18000"/>
    <n v="1"/>
    <n v="18000"/>
    <n v="9000"/>
    <x v="0"/>
    <x v="0"/>
    <n v="900"/>
    <x v="0"/>
    <x v="0"/>
    <x v="3"/>
    <n v="2025"/>
    <x v="6"/>
  </r>
  <r>
    <s v="B033"/>
    <s v="Isha Khan"/>
    <n v="27"/>
    <x v="1"/>
    <x v="1"/>
    <x v="4"/>
    <s v="29-04-2025"/>
    <s v="20-05-2025"/>
    <s v="24-05-2025"/>
    <x v="1"/>
    <n v="60000"/>
    <n v="4"/>
    <n v="240000"/>
    <n v="156000"/>
    <x v="1"/>
    <x v="1"/>
    <n v="0"/>
    <x v="1"/>
    <x v="1"/>
    <x v="4"/>
    <n v="2025"/>
    <x v="1"/>
  </r>
  <r>
    <s v="B034"/>
    <s v="Neha Joshi"/>
    <n v="30"/>
    <x v="1"/>
    <x v="2"/>
    <x v="1"/>
    <s v="13-04-2025"/>
    <s v="18-04-2025"/>
    <s v="27-04-2025"/>
    <x v="2"/>
    <n v="80000"/>
    <n v="2"/>
    <n v="160000"/>
    <n v="96000"/>
    <x v="0"/>
    <x v="3"/>
    <n v="19200"/>
    <x v="3"/>
    <x v="0"/>
    <x v="4"/>
    <n v="2025"/>
    <x v="0"/>
  </r>
  <r>
    <s v="B035"/>
    <s v="Payal Gupta"/>
    <n v="29"/>
    <x v="1"/>
    <x v="0"/>
    <x v="12"/>
    <s v="15-03-2025"/>
    <s v="13-04-2025"/>
    <s v="22-04-2025"/>
    <x v="0"/>
    <n v="18000"/>
    <n v="4"/>
    <n v="72000"/>
    <n v="36000"/>
    <x v="1"/>
    <x v="1"/>
    <n v="0"/>
    <x v="1"/>
    <x v="1"/>
    <x v="6"/>
    <n v="2025"/>
    <x v="1"/>
  </r>
  <r>
    <s v="B036"/>
    <s v="Sanya Shetty"/>
    <n v="27"/>
    <x v="1"/>
    <x v="2"/>
    <x v="1"/>
    <s v="25-04-2025"/>
    <s v="12-05-2025"/>
    <s v="18-05-2025"/>
    <x v="2"/>
    <n v="80000"/>
    <n v="2"/>
    <n v="160000"/>
    <n v="96000"/>
    <x v="0"/>
    <x v="3"/>
    <n v="19200"/>
    <x v="3"/>
    <x v="0"/>
    <x v="4"/>
    <n v="2025"/>
    <x v="1"/>
  </r>
  <r>
    <s v="B037"/>
    <s v="Vivaan Patel"/>
    <n v="28"/>
    <x v="0"/>
    <x v="4"/>
    <x v="13"/>
    <s v="10-02-2025"/>
    <s v="08-03-2025"/>
    <s v="13-03-2025"/>
    <x v="4"/>
    <n v="70000"/>
    <n v="1"/>
    <n v="70000"/>
    <n v="42000"/>
    <x v="1"/>
    <x v="1"/>
    <n v="0"/>
    <x v="1"/>
    <x v="1"/>
    <x v="7"/>
    <n v="2025"/>
    <x v="1"/>
  </r>
  <r>
    <s v="B038"/>
    <s v="Diya Patel"/>
    <n v="39"/>
    <x v="1"/>
    <x v="3"/>
    <x v="10"/>
    <s v="02-01-2025"/>
    <s v="29-01-2025"/>
    <s v="07-02-2025"/>
    <x v="3"/>
    <n v="120000"/>
    <n v="3"/>
    <n v="360000"/>
    <n v="234000"/>
    <x v="1"/>
    <x v="1"/>
    <n v="0"/>
    <x v="1"/>
    <x v="1"/>
    <x v="1"/>
    <n v="2025"/>
    <x v="7"/>
  </r>
  <r>
    <s v="B039"/>
    <s v="Aditi Kapoor"/>
    <n v="55"/>
    <x v="1"/>
    <x v="4"/>
    <x v="0"/>
    <s v="10-03-2025"/>
    <s v="21-03-2025"/>
    <s v="31-03-2025"/>
    <x v="4"/>
    <n v="70000"/>
    <n v="2"/>
    <n v="140000"/>
    <n v="84000"/>
    <x v="0"/>
    <x v="5"/>
    <n v="9800.0000000000018"/>
    <x v="7"/>
    <x v="0"/>
    <x v="6"/>
    <n v="2025"/>
    <x v="4"/>
  </r>
  <r>
    <s v="B040"/>
    <s v="Vivaan Das"/>
    <n v="45"/>
    <x v="0"/>
    <x v="3"/>
    <x v="3"/>
    <s v="23-08-2025"/>
    <s v="21-09-2025"/>
    <s v="29-09-2025"/>
    <x v="3"/>
    <n v="120000"/>
    <n v="4"/>
    <n v="480000"/>
    <n v="312000"/>
    <x v="0"/>
    <x v="4"/>
    <n v="72000"/>
    <x v="11"/>
    <x v="0"/>
    <x v="5"/>
    <n v="2025"/>
    <x v="2"/>
  </r>
  <r>
    <s v="B041"/>
    <s v="Ananya Chowdhury"/>
    <n v="28"/>
    <x v="1"/>
    <x v="2"/>
    <x v="7"/>
    <s v="18-02-2025"/>
    <s v="16-03-2025"/>
    <s v="20-03-2025"/>
    <x v="2"/>
    <n v="80000"/>
    <n v="2"/>
    <n v="160000"/>
    <n v="96000"/>
    <x v="1"/>
    <x v="1"/>
    <n v="0"/>
    <x v="1"/>
    <x v="1"/>
    <x v="7"/>
    <n v="2025"/>
    <x v="1"/>
  </r>
  <r>
    <s v="B042"/>
    <s v="Vikas Kulkarni"/>
    <n v="60"/>
    <x v="0"/>
    <x v="4"/>
    <x v="10"/>
    <s v="07-05-2025"/>
    <s v="30-05-2025"/>
    <s v="03-06-2025"/>
    <x v="4"/>
    <n v="70000"/>
    <n v="1"/>
    <n v="70000"/>
    <n v="42000"/>
    <x v="0"/>
    <x v="5"/>
    <n v="4900.0000000000009"/>
    <x v="9"/>
    <x v="0"/>
    <x v="2"/>
    <n v="2025"/>
    <x v="9"/>
  </r>
  <r>
    <s v="B043"/>
    <s v="Rahul Jain"/>
    <n v="29"/>
    <x v="0"/>
    <x v="3"/>
    <x v="10"/>
    <s v="15-08-2025"/>
    <s v="13-09-2025"/>
    <s v="20-09-2025"/>
    <x v="3"/>
    <n v="120000"/>
    <n v="2"/>
    <n v="240000"/>
    <n v="156000"/>
    <x v="0"/>
    <x v="4"/>
    <n v="36000"/>
    <x v="8"/>
    <x v="0"/>
    <x v="5"/>
    <n v="2025"/>
    <x v="1"/>
  </r>
  <r>
    <s v="B044"/>
    <s v="Payal Kapoor"/>
    <n v="28"/>
    <x v="1"/>
    <x v="3"/>
    <x v="3"/>
    <s v="15-05-2025"/>
    <s v="02-06-2025"/>
    <s v="07-06-2025"/>
    <x v="3"/>
    <n v="120000"/>
    <n v="1"/>
    <n v="120000"/>
    <n v="78000"/>
    <x v="0"/>
    <x v="4"/>
    <n v="18000"/>
    <x v="4"/>
    <x v="0"/>
    <x v="2"/>
    <n v="2025"/>
    <x v="1"/>
  </r>
  <r>
    <s v="B045"/>
    <s v="Komal Bose"/>
    <n v="40"/>
    <x v="1"/>
    <x v="3"/>
    <x v="9"/>
    <s v="25-05-2025"/>
    <s v="17-06-2025"/>
    <s v="27-06-2025"/>
    <x v="3"/>
    <n v="120000"/>
    <n v="2"/>
    <n v="240000"/>
    <n v="156000"/>
    <x v="0"/>
    <x v="4"/>
    <n v="36000"/>
    <x v="8"/>
    <x v="0"/>
    <x v="2"/>
    <n v="2025"/>
    <x v="3"/>
  </r>
  <r>
    <s v="B046"/>
    <s v="Nisha Joshi"/>
    <n v="32"/>
    <x v="1"/>
    <x v="2"/>
    <x v="0"/>
    <s v="09-07-2025"/>
    <s v="01-08-2025"/>
    <s v="07-08-2025"/>
    <x v="2"/>
    <n v="80000"/>
    <n v="2"/>
    <n v="160000"/>
    <n v="96000"/>
    <x v="0"/>
    <x v="3"/>
    <n v="19200"/>
    <x v="3"/>
    <x v="0"/>
    <x v="0"/>
    <n v="2025"/>
    <x v="0"/>
  </r>
  <r>
    <s v="B047"/>
    <s v="Sanya Iyer"/>
    <n v="24"/>
    <x v="1"/>
    <x v="1"/>
    <x v="11"/>
    <s v="24-04-2025"/>
    <s v="10-05-2025"/>
    <s v="18-05-2025"/>
    <x v="1"/>
    <n v="60000"/>
    <n v="4"/>
    <n v="240000"/>
    <n v="156000"/>
    <x v="0"/>
    <x v="2"/>
    <n v="24000"/>
    <x v="2"/>
    <x v="0"/>
    <x v="4"/>
    <n v="2025"/>
    <x v="6"/>
  </r>
  <r>
    <s v="B048"/>
    <s v="Sanya Menon"/>
    <n v="21"/>
    <x v="1"/>
    <x v="4"/>
    <x v="1"/>
    <s v="10-03-2025"/>
    <s v="20-03-2025"/>
    <s v="26-03-2025"/>
    <x v="4"/>
    <n v="70000"/>
    <n v="1"/>
    <n v="70000"/>
    <n v="42000"/>
    <x v="1"/>
    <x v="1"/>
    <n v="0"/>
    <x v="1"/>
    <x v="1"/>
    <x v="6"/>
    <n v="2025"/>
    <x v="6"/>
  </r>
  <r>
    <s v="B049"/>
    <s v="Isha Das"/>
    <n v="40"/>
    <x v="1"/>
    <x v="1"/>
    <x v="1"/>
    <s v="10-05-2025"/>
    <s v="04-06-2025"/>
    <s v="07-06-2025"/>
    <x v="1"/>
    <n v="60000"/>
    <n v="3"/>
    <n v="180000"/>
    <n v="117000"/>
    <x v="0"/>
    <x v="2"/>
    <n v="18000"/>
    <x v="12"/>
    <x v="0"/>
    <x v="2"/>
    <n v="2025"/>
    <x v="3"/>
  </r>
  <r>
    <s v="B050"/>
    <s v="Siddharth Sharma"/>
    <n v="55"/>
    <x v="0"/>
    <x v="0"/>
    <x v="14"/>
    <s v="25-07-2025"/>
    <s v="18-08-2025"/>
    <s v="21-08-2025"/>
    <x v="0"/>
    <n v="18000"/>
    <n v="2"/>
    <n v="36000"/>
    <n v="18000"/>
    <x v="1"/>
    <x v="1"/>
    <n v="0"/>
    <x v="1"/>
    <x v="1"/>
    <x v="0"/>
    <n v="2025"/>
    <x v="4"/>
  </r>
  <r>
    <s v="B051"/>
    <s v="Vivaan Kapoor"/>
    <n v="41"/>
    <x v="0"/>
    <x v="4"/>
    <x v="7"/>
    <s v="08-02-2025"/>
    <s v="23-02-2025"/>
    <s v="04-03-2025"/>
    <x v="4"/>
    <n v="70000"/>
    <n v="1"/>
    <n v="70000"/>
    <n v="42000"/>
    <x v="0"/>
    <x v="5"/>
    <n v="4900.0000000000009"/>
    <x v="9"/>
    <x v="0"/>
    <x v="7"/>
    <n v="2025"/>
    <x v="3"/>
  </r>
  <r>
    <s v="B052"/>
    <s v="Priya Bose"/>
    <n v="18"/>
    <x v="1"/>
    <x v="0"/>
    <x v="5"/>
    <s v="04-05-2025"/>
    <s v="19-05-2025"/>
    <s v="26-05-2025"/>
    <x v="0"/>
    <n v="18000"/>
    <n v="2"/>
    <n v="36000"/>
    <n v="18000"/>
    <x v="1"/>
    <x v="1"/>
    <n v="0"/>
    <x v="1"/>
    <x v="1"/>
    <x v="2"/>
    <n v="2025"/>
    <x v="8"/>
  </r>
  <r>
    <s v="B053"/>
    <s v="Payal Mishra"/>
    <n v="27"/>
    <x v="1"/>
    <x v="3"/>
    <x v="3"/>
    <s v="30-01-2025"/>
    <s v="07-02-2025"/>
    <s v="13-02-2025"/>
    <x v="3"/>
    <n v="120000"/>
    <n v="1"/>
    <n v="120000"/>
    <n v="78000"/>
    <x v="1"/>
    <x v="1"/>
    <n v="0"/>
    <x v="1"/>
    <x v="1"/>
    <x v="1"/>
    <n v="2025"/>
    <x v="1"/>
  </r>
  <r>
    <s v="B054"/>
    <s v="Nisha Das"/>
    <n v="26"/>
    <x v="1"/>
    <x v="2"/>
    <x v="11"/>
    <s v="23-08-2025"/>
    <s v="08-09-2025"/>
    <s v="15-09-2025"/>
    <x v="2"/>
    <n v="80000"/>
    <n v="2"/>
    <n v="160000"/>
    <n v="96000"/>
    <x v="0"/>
    <x v="3"/>
    <n v="19200"/>
    <x v="3"/>
    <x v="0"/>
    <x v="5"/>
    <n v="2025"/>
    <x v="1"/>
  </r>
  <r>
    <s v="B055"/>
    <s v="Karan Jain"/>
    <n v="40"/>
    <x v="0"/>
    <x v="4"/>
    <x v="5"/>
    <s v="06-06-2025"/>
    <s v="01-07-2025"/>
    <s v="05-07-2025"/>
    <x v="4"/>
    <n v="70000"/>
    <n v="3"/>
    <n v="210000"/>
    <n v="126000"/>
    <x v="0"/>
    <x v="5"/>
    <n v="14700.000000000002"/>
    <x v="13"/>
    <x v="0"/>
    <x v="3"/>
    <n v="2025"/>
    <x v="3"/>
  </r>
  <r>
    <s v="B056"/>
    <s v="Nikhil Bose"/>
    <n v="31"/>
    <x v="0"/>
    <x v="2"/>
    <x v="8"/>
    <s v="11-06-2025"/>
    <s v="05-07-2025"/>
    <s v="08-07-2025"/>
    <x v="2"/>
    <n v="80000"/>
    <n v="2"/>
    <n v="160000"/>
    <n v="96000"/>
    <x v="1"/>
    <x v="1"/>
    <n v="0"/>
    <x v="1"/>
    <x v="1"/>
    <x v="3"/>
    <n v="2025"/>
    <x v="0"/>
  </r>
  <r>
    <s v="B057"/>
    <s v="Diya Khan"/>
    <n v="33"/>
    <x v="1"/>
    <x v="3"/>
    <x v="11"/>
    <s v="26-07-2025"/>
    <s v="04-08-2025"/>
    <s v="13-08-2025"/>
    <x v="3"/>
    <n v="120000"/>
    <n v="2"/>
    <n v="240000"/>
    <n v="156000"/>
    <x v="0"/>
    <x v="4"/>
    <n v="36000"/>
    <x v="8"/>
    <x v="0"/>
    <x v="0"/>
    <n v="2025"/>
    <x v="0"/>
  </r>
  <r>
    <s v="B058"/>
    <s v="Neha Kulkarni"/>
    <n v="40"/>
    <x v="1"/>
    <x v="0"/>
    <x v="15"/>
    <s v="27-06-2025"/>
    <s v="23-07-2025"/>
    <s v="29-07-2025"/>
    <x v="0"/>
    <n v="18000"/>
    <n v="2"/>
    <n v="36000"/>
    <n v="18000"/>
    <x v="0"/>
    <x v="0"/>
    <n v="1800"/>
    <x v="14"/>
    <x v="0"/>
    <x v="3"/>
    <n v="2025"/>
    <x v="3"/>
  </r>
  <r>
    <s v="B059"/>
    <s v="Siddharth Khan"/>
    <n v="27"/>
    <x v="0"/>
    <x v="0"/>
    <x v="7"/>
    <s v="03-07-2025"/>
    <s v="09-07-2025"/>
    <s v="12-07-2025"/>
    <x v="0"/>
    <n v="18000"/>
    <n v="3"/>
    <n v="54000"/>
    <n v="27000"/>
    <x v="1"/>
    <x v="1"/>
    <n v="0"/>
    <x v="1"/>
    <x v="1"/>
    <x v="0"/>
    <n v="2025"/>
    <x v="1"/>
  </r>
  <r>
    <s v="B060"/>
    <s v="Swati Gupta"/>
    <n v="33"/>
    <x v="1"/>
    <x v="1"/>
    <x v="0"/>
    <s v="09-02-2025"/>
    <s v="15-02-2025"/>
    <s v="22-02-2025"/>
    <x v="1"/>
    <n v="60000"/>
    <n v="3"/>
    <n v="180000"/>
    <n v="117000"/>
    <x v="1"/>
    <x v="1"/>
    <n v="0"/>
    <x v="1"/>
    <x v="1"/>
    <x v="7"/>
    <n v="2025"/>
    <x v="0"/>
  </r>
  <r>
    <s v="B061"/>
    <s v="Arjun Gupta"/>
    <n v="19"/>
    <x v="0"/>
    <x v="0"/>
    <x v="12"/>
    <s v="26-04-2025"/>
    <s v="12-05-2025"/>
    <s v="16-05-2025"/>
    <x v="0"/>
    <n v="18000"/>
    <n v="1"/>
    <n v="18000"/>
    <n v="9000"/>
    <x v="1"/>
    <x v="1"/>
    <n v="0"/>
    <x v="1"/>
    <x v="1"/>
    <x v="4"/>
    <n v="2025"/>
    <x v="8"/>
  </r>
  <r>
    <s v="B062"/>
    <s v="Siddharth Chowdhury"/>
    <n v="35"/>
    <x v="0"/>
    <x v="3"/>
    <x v="9"/>
    <s v="06-06-2025"/>
    <s v="05-07-2025"/>
    <s v="08-07-2025"/>
    <x v="3"/>
    <n v="120000"/>
    <n v="2"/>
    <n v="240000"/>
    <n v="156000"/>
    <x v="0"/>
    <x v="4"/>
    <n v="36000"/>
    <x v="8"/>
    <x v="0"/>
    <x v="3"/>
    <n v="2025"/>
    <x v="7"/>
  </r>
  <r>
    <s v="B063"/>
    <s v="Aditya Bose"/>
    <n v="31"/>
    <x v="0"/>
    <x v="1"/>
    <x v="5"/>
    <s v="20-02-2025"/>
    <s v="19-03-2025"/>
    <s v="28-03-2025"/>
    <x v="1"/>
    <n v="60000"/>
    <n v="4"/>
    <n v="240000"/>
    <n v="156000"/>
    <x v="0"/>
    <x v="2"/>
    <n v="24000"/>
    <x v="2"/>
    <x v="0"/>
    <x v="7"/>
    <n v="2025"/>
    <x v="0"/>
  </r>
  <r>
    <s v="B064"/>
    <s v="Pranav Khan"/>
    <n v="22"/>
    <x v="0"/>
    <x v="3"/>
    <x v="10"/>
    <s v="27-01-2025"/>
    <s v="16-02-2025"/>
    <s v="24-02-2025"/>
    <x v="3"/>
    <n v="120000"/>
    <n v="3"/>
    <n v="360000"/>
    <n v="234000"/>
    <x v="1"/>
    <x v="1"/>
    <n v="0"/>
    <x v="1"/>
    <x v="1"/>
    <x v="1"/>
    <n v="2025"/>
    <x v="6"/>
  </r>
  <r>
    <s v="B065"/>
    <s v="Pooja Das"/>
    <n v="29"/>
    <x v="1"/>
    <x v="2"/>
    <x v="13"/>
    <s v="24-08-2025"/>
    <s v="16-09-2025"/>
    <s v="23-09-2025"/>
    <x v="2"/>
    <n v="80000"/>
    <n v="2"/>
    <n v="160000"/>
    <n v="96000"/>
    <x v="1"/>
    <x v="1"/>
    <n v="0"/>
    <x v="1"/>
    <x v="1"/>
    <x v="5"/>
    <n v="2025"/>
    <x v="1"/>
  </r>
  <r>
    <s v="B066"/>
    <s v="Aditi Mishra"/>
    <n v="42"/>
    <x v="1"/>
    <x v="1"/>
    <x v="5"/>
    <s v="26-05-2025"/>
    <s v="03-06-2025"/>
    <s v="07-06-2025"/>
    <x v="1"/>
    <n v="60000"/>
    <n v="3"/>
    <n v="180000"/>
    <n v="117000"/>
    <x v="0"/>
    <x v="2"/>
    <n v="18000"/>
    <x v="12"/>
    <x v="0"/>
    <x v="2"/>
    <n v="2025"/>
    <x v="3"/>
  </r>
  <r>
    <s v="B067"/>
    <s v="Diya Bose"/>
    <n v="46"/>
    <x v="1"/>
    <x v="0"/>
    <x v="0"/>
    <s v="15-08-2025"/>
    <s v="29-08-2025"/>
    <s v="04-09-2025"/>
    <x v="0"/>
    <n v="18000"/>
    <n v="2"/>
    <n v="36000"/>
    <n v="18000"/>
    <x v="1"/>
    <x v="1"/>
    <n v="0"/>
    <x v="1"/>
    <x v="1"/>
    <x v="5"/>
    <n v="2025"/>
    <x v="2"/>
  </r>
  <r>
    <s v="B068"/>
    <s v="Suresh Mishra"/>
    <n v="48"/>
    <x v="0"/>
    <x v="4"/>
    <x v="1"/>
    <s v="20-07-2025"/>
    <s v="25-07-2025"/>
    <s v="28-07-2025"/>
    <x v="4"/>
    <n v="70000"/>
    <n v="1"/>
    <n v="70000"/>
    <n v="42000"/>
    <x v="0"/>
    <x v="5"/>
    <n v="4900.0000000000009"/>
    <x v="9"/>
    <x v="0"/>
    <x v="0"/>
    <n v="2025"/>
    <x v="2"/>
  </r>
  <r>
    <s v="B069"/>
    <s v="Arjun Chowdhury"/>
    <n v="27"/>
    <x v="0"/>
    <x v="4"/>
    <x v="11"/>
    <s v="21-01-2025"/>
    <s v="20-02-2025"/>
    <s v="23-02-2025"/>
    <x v="4"/>
    <n v="70000"/>
    <n v="1"/>
    <n v="70000"/>
    <n v="42000"/>
    <x v="1"/>
    <x v="1"/>
    <n v="0"/>
    <x v="1"/>
    <x v="1"/>
    <x v="1"/>
    <n v="2025"/>
    <x v="1"/>
  </r>
  <r>
    <s v="B070"/>
    <s v="Shreya Tripathi"/>
    <n v="45"/>
    <x v="1"/>
    <x v="0"/>
    <x v="0"/>
    <s v="17-06-2025"/>
    <s v="01-07-2025"/>
    <s v="05-07-2025"/>
    <x v="0"/>
    <n v="18000"/>
    <n v="2"/>
    <n v="36000"/>
    <n v="18000"/>
    <x v="0"/>
    <x v="0"/>
    <n v="1800"/>
    <x v="14"/>
    <x v="0"/>
    <x v="3"/>
    <n v="2025"/>
    <x v="2"/>
  </r>
  <r>
    <s v="B071"/>
    <s v="Aditi Khan"/>
    <n v="33"/>
    <x v="1"/>
    <x v="3"/>
    <x v="3"/>
    <s v="10-01-2025"/>
    <s v="01-02-2025"/>
    <s v="05-02-2025"/>
    <x v="3"/>
    <n v="120000"/>
    <n v="1"/>
    <n v="120000"/>
    <n v="78000"/>
    <x v="0"/>
    <x v="4"/>
    <n v="18000"/>
    <x v="4"/>
    <x v="0"/>
    <x v="1"/>
    <n v="2025"/>
    <x v="0"/>
  </r>
  <r>
    <s v="B072"/>
    <s v="Pranav Iyer"/>
    <n v="41"/>
    <x v="0"/>
    <x v="1"/>
    <x v="13"/>
    <s v="01-07-2025"/>
    <s v="17-07-2025"/>
    <s v="20-07-2025"/>
    <x v="1"/>
    <n v="60000"/>
    <n v="1"/>
    <n v="60000"/>
    <n v="39000"/>
    <x v="0"/>
    <x v="2"/>
    <n v="6000"/>
    <x v="15"/>
    <x v="0"/>
    <x v="0"/>
    <n v="2025"/>
    <x v="3"/>
  </r>
  <r>
    <s v="B073"/>
    <s v="Aarohi Menon"/>
    <n v="36"/>
    <x v="1"/>
    <x v="1"/>
    <x v="2"/>
    <s v="19-04-2025"/>
    <s v="01-05-2025"/>
    <s v="07-05-2025"/>
    <x v="1"/>
    <n v="60000"/>
    <n v="4"/>
    <n v="240000"/>
    <n v="156000"/>
    <x v="0"/>
    <x v="2"/>
    <n v="24000"/>
    <x v="2"/>
    <x v="0"/>
    <x v="4"/>
    <n v="2025"/>
    <x v="7"/>
  </r>
  <r>
    <s v="B074"/>
    <s v="Sneha Menon"/>
    <n v="30"/>
    <x v="1"/>
    <x v="1"/>
    <x v="13"/>
    <s v="22-02-2025"/>
    <s v="22-03-2025"/>
    <s v="30-03-2025"/>
    <x v="1"/>
    <n v="60000"/>
    <n v="3"/>
    <n v="180000"/>
    <n v="117000"/>
    <x v="1"/>
    <x v="1"/>
    <n v="0"/>
    <x v="1"/>
    <x v="1"/>
    <x v="7"/>
    <n v="2025"/>
    <x v="0"/>
  </r>
  <r>
    <s v="B075"/>
    <s v="Harsh Khan"/>
    <n v="32"/>
    <x v="0"/>
    <x v="3"/>
    <x v="9"/>
    <s v="19-01-2025"/>
    <s v="16-02-2025"/>
    <s v="25-02-2025"/>
    <x v="3"/>
    <n v="120000"/>
    <n v="4"/>
    <n v="480000"/>
    <n v="312000"/>
    <x v="0"/>
    <x v="4"/>
    <n v="72000"/>
    <x v="11"/>
    <x v="0"/>
    <x v="1"/>
    <n v="2025"/>
    <x v="0"/>
  </r>
  <r>
    <s v="B076"/>
    <s v="Shreya Das"/>
    <n v="27"/>
    <x v="1"/>
    <x v="0"/>
    <x v="16"/>
    <s v="23-08-2025"/>
    <s v="21-09-2025"/>
    <s v="28-09-2025"/>
    <x v="0"/>
    <n v="18000"/>
    <n v="3"/>
    <n v="54000"/>
    <n v="27000"/>
    <x v="1"/>
    <x v="1"/>
    <n v="0"/>
    <x v="1"/>
    <x v="1"/>
    <x v="5"/>
    <n v="2025"/>
    <x v="1"/>
  </r>
  <r>
    <s v="B077"/>
    <s v="Deepak Gupta"/>
    <n v="28"/>
    <x v="0"/>
    <x v="2"/>
    <x v="13"/>
    <s v="09-05-2025"/>
    <s v="29-05-2025"/>
    <s v="03-06-2025"/>
    <x v="2"/>
    <n v="80000"/>
    <n v="2"/>
    <n v="160000"/>
    <n v="96000"/>
    <x v="0"/>
    <x v="3"/>
    <n v="19200"/>
    <x v="3"/>
    <x v="0"/>
    <x v="2"/>
    <n v="2025"/>
    <x v="1"/>
  </r>
  <r>
    <s v="B078"/>
    <s v="Sameer Sharma"/>
    <n v="49"/>
    <x v="0"/>
    <x v="3"/>
    <x v="11"/>
    <s v="07-06-2025"/>
    <s v="29-06-2025"/>
    <s v="08-07-2025"/>
    <x v="3"/>
    <n v="120000"/>
    <n v="2"/>
    <n v="240000"/>
    <n v="156000"/>
    <x v="1"/>
    <x v="1"/>
    <n v="0"/>
    <x v="1"/>
    <x v="1"/>
    <x v="3"/>
    <n v="2025"/>
    <x v="2"/>
  </r>
  <r>
    <s v="B079"/>
    <s v="Harsh Patel"/>
    <n v="59"/>
    <x v="0"/>
    <x v="0"/>
    <x v="14"/>
    <s v="18-05-2025"/>
    <s v="26-05-2025"/>
    <s v="31-05-2025"/>
    <x v="0"/>
    <n v="18000"/>
    <n v="1"/>
    <n v="18000"/>
    <n v="9000"/>
    <x v="1"/>
    <x v="1"/>
    <n v="0"/>
    <x v="1"/>
    <x v="1"/>
    <x v="2"/>
    <n v="2025"/>
    <x v="4"/>
  </r>
  <r>
    <s v="B080"/>
    <s v="Ritika Menon"/>
    <n v="41"/>
    <x v="1"/>
    <x v="1"/>
    <x v="8"/>
    <s v="05-02-2025"/>
    <s v="21-02-2025"/>
    <s v="25-02-2025"/>
    <x v="1"/>
    <n v="60000"/>
    <n v="4"/>
    <n v="240000"/>
    <n v="156000"/>
    <x v="1"/>
    <x v="1"/>
    <n v="0"/>
    <x v="1"/>
    <x v="1"/>
    <x v="7"/>
    <n v="2025"/>
    <x v="3"/>
  </r>
  <r>
    <s v="B081"/>
    <s v="Suresh Reddy"/>
    <n v="43"/>
    <x v="0"/>
    <x v="4"/>
    <x v="2"/>
    <s v="01-03-2025"/>
    <s v="21-03-2025"/>
    <s v="24-03-2025"/>
    <x v="4"/>
    <n v="70000"/>
    <n v="3"/>
    <n v="210000"/>
    <n v="126000"/>
    <x v="0"/>
    <x v="5"/>
    <n v="14700.000000000002"/>
    <x v="13"/>
    <x v="0"/>
    <x v="6"/>
    <n v="2025"/>
    <x v="3"/>
  </r>
  <r>
    <s v="B082"/>
    <s v="Aditya Mishra"/>
    <n v="29"/>
    <x v="0"/>
    <x v="2"/>
    <x v="10"/>
    <s v="01-05-2025"/>
    <s v="08-05-2025"/>
    <s v="18-05-2025"/>
    <x v="2"/>
    <n v="80000"/>
    <n v="2"/>
    <n v="160000"/>
    <n v="96000"/>
    <x v="0"/>
    <x v="3"/>
    <n v="19200"/>
    <x v="3"/>
    <x v="0"/>
    <x v="2"/>
    <n v="2025"/>
    <x v="1"/>
  </r>
  <r>
    <s v="B083"/>
    <s v="Vikas Pandey"/>
    <n v="26"/>
    <x v="0"/>
    <x v="0"/>
    <x v="15"/>
    <s v="23-06-2025"/>
    <s v="06-07-2025"/>
    <s v="15-07-2025"/>
    <x v="0"/>
    <n v="18000"/>
    <n v="1"/>
    <n v="18000"/>
    <n v="9000"/>
    <x v="1"/>
    <x v="1"/>
    <n v="0"/>
    <x v="1"/>
    <x v="1"/>
    <x v="3"/>
    <n v="2025"/>
    <x v="1"/>
  </r>
  <r>
    <s v="B084"/>
    <s v="Sunita Kulkarni"/>
    <n v="23"/>
    <x v="1"/>
    <x v="2"/>
    <x v="0"/>
    <s v="17-05-2025"/>
    <s v="05-06-2025"/>
    <s v="08-06-2025"/>
    <x v="2"/>
    <n v="80000"/>
    <n v="2"/>
    <n v="160000"/>
    <n v="96000"/>
    <x v="1"/>
    <x v="1"/>
    <n v="0"/>
    <x v="1"/>
    <x v="1"/>
    <x v="2"/>
    <n v="2025"/>
    <x v="6"/>
  </r>
  <r>
    <s v="B085"/>
    <s v="Rahul Pandey"/>
    <n v="56"/>
    <x v="0"/>
    <x v="4"/>
    <x v="2"/>
    <s v="08-02-2025"/>
    <s v="07-03-2025"/>
    <s v="12-03-2025"/>
    <x v="4"/>
    <n v="70000"/>
    <n v="2"/>
    <n v="140000"/>
    <n v="84000"/>
    <x v="1"/>
    <x v="1"/>
    <n v="0"/>
    <x v="1"/>
    <x v="1"/>
    <x v="7"/>
    <n v="2025"/>
    <x v="4"/>
  </r>
  <r>
    <s v="B086"/>
    <s v="Rohan Agarwal"/>
    <n v="24"/>
    <x v="0"/>
    <x v="0"/>
    <x v="15"/>
    <s v="10-02-2025"/>
    <s v="01-03-2025"/>
    <s v="09-03-2025"/>
    <x v="0"/>
    <n v="18000"/>
    <n v="1"/>
    <n v="18000"/>
    <n v="9000"/>
    <x v="0"/>
    <x v="0"/>
    <n v="900"/>
    <x v="0"/>
    <x v="0"/>
    <x v="7"/>
    <n v="2025"/>
    <x v="6"/>
  </r>
  <r>
    <s v="B087"/>
    <s v="Vivaan Bose"/>
    <n v="31"/>
    <x v="0"/>
    <x v="0"/>
    <x v="17"/>
    <s v="02-06-2025"/>
    <s v="25-06-2025"/>
    <s v="30-06-2025"/>
    <x v="0"/>
    <n v="18000"/>
    <n v="4"/>
    <n v="72000"/>
    <n v="36000"/>
    <x v="0"/>
    <x v="0"/>
    <n v="3600"/>
    <x v="16"/>
    <x v="0"/>
    <x v="3"/>
    <n v="2025"/>
    <x v="0"/>
  </r>
  <r>
    <s v="B088"/>
    <s v="Rohan Reddy"/>
    <n v="31"/>
    <x v="0"/>
    <x v="2"/>
    <x v="4"/>
    <s v="16-02-2025"/>
    <s v="03-03-2025"/>
    <s v="07-03-2025"/>
    <x v="2"/>
    <n v="80000"/>
    <n v="2"/>
    <n v="160000"/>
    <n v="96000"/>
    <x v="0"/>
    <x v="3"/>
    <n v="19200"/>
    <x v="3"/>
    <x v="0"/>
    <x v="7"/>
    <n v="2025"/>
    <x v="0"/>
  </r>
  <r>
    <s v="B089"/>
    <s v="Pooja Patel"/>
    <n v="52"/>
    <x v="1"/>
    <x v="3"/>
    <x v="8"/>
    <s v="25-02-2025"/>
    <s v="12-03-2025"/>
    <s v="19-03-2025"/>
    <x v="3"/>
    <n v="120000"/>
    <n v="4"/>
    <n v="480000"/>
    <n v="312000"/>
    <x v="1"/>
    <x v="1"/>
    <n v="0"/>
    <x v="1"/>
    <x v="1"/>
    <x v="7"/>
    <n v="2025"/>
    <x v="5"/>
  </r>
  <r>
    <s v="B090"/>
    <s v="Sunita Khan"/>
    <n v="48"/>
    <x v="1"/>
    <x v="1"/>
    <x v="2"/>
    <s v="25-07-2025"/>
    <s v="21-08-2025"/>
    <s v="24-08-2025"/>
    <x v="1"/>
    <n v="60000"/>
    <n v="3"/>
    <n v="180000"/>
    <n v="117000"/>
    <x v="0"/>
    <x v="2"/>
    <n v="18000"/>
    <x v="12"/>
    <x v="0"/>
    <x v="0"/>
    <n v="2025"/>
    <x v="2"/>
  </r>
  <r>
    <s v="B091"/>
    <s v="Suresh Iyer"/>
    <n v="30"/>
    <x v="0"/>
    <x v="4"/>
    <x v="7"/>
    <s v="18-01-2025"/>
    <s v="05-02-2025"/>
    <s v="08-02-2025"/>
    <x v="4"/>
    <n v="70000"/>
    <n v="3"/>
    <n v="210000"/>
    <n v="126000"/>
    <x v="0"/>
    <x v="5"/>
    <n v="14700.000000000002"/>
    <x v="13"/>
    <x v="0"/>
    <x v="1"/>
    <n v="2025"/>
    <x v="0"/>
  </r>
  <r>
    <s v="B092"/>
    <s v="Pooja Jain"/>
    <n v="26"/>
    <x v="1"/>
    <x v="2"/>
    <x v="0"/>
    <s v="16-05-2025"/>
    <s v="22-05-2025"/>
    <s v="29-05-2025"/>
    <x v="2"/>
    <n v="80000"/>
    <n v="2"/>
    <n v="160000"/>
    <n v="96000"/>
    <x v="0"/>
    <x v="3"/>
    <n v="19200"/>
    <x v="3"/>
    <x v="0"/>
    <x v="2"/>
    <n v="2025"/>
    <x v="1"/>
  </r>
  <r>
    <s v="B093"/>
    <s v="Kabir Reddy"/>
    <n v="18"/>
    <x v="0"/>
    <x v="1"/>
    <x v="10"/>
    <s v="20-06-2025"/>
    <s v="13-07-2025"/>
    <s v="22-07-2025"/>
    <x v="1"/>
    <n v="60000"/>
    <n v="1"/>
    <n v="60000"/>
    <n v="39000"/>
    <x v="0"/>
    <x v="2"/>
    <n v="6000"/>
    <x v="15"/>
    <x v="0"/>
    <x v="3"/>
    <n v="2025"/>
    <x v="8"/>
  </r>
  <r>
    <s v="B094"/>
    <s v="Sanya Khan"/>
    <n v="52"/>
    <x v="1"/>
    <x v="3"/>
    <x v="10"/>
    <s v="13-08-2025"/>
    <s v="31-08-2025"/>
    <s v="03-09-2025"/>
    <x v="3"/>
    <n v="120000"/>
    <n v="2"/>
    <n v="240000"/>
    <n v="156000"/>
    <x v="0"/>
    <x v="4"/>
    <n v="36000"/>
    <x v="8"/>
    <x v="0"/>
    <x v="5"/>
    <n v="2025"/>
    <x v="5"/>
  </r>
  <r>
    <s v="B095"/>
    <s v="Aarohi Iyer"/>
    <n v="50"/>
    <x v="1"/>
    <x v="3"/>
    <x v="8"/>
    <s v="16-02-2025"/>
    <s v="02-03-2025"/>
    <s v="06-03-2025"/>
    <x v="3"/>
    <n v="120000"/>
    <n v="2"/>
    <n v="240000"/>
    <n v="156000"/>
    <x v="0"/>
    <x v="4"/>
    <n v="36000"/>
    <x v="8"/>
    <x v="0"/>
    <x v="7"/>
    <n v="2025"/>
    <x v="5"/>
  </r>
  <r>
    <s v="B096"/>
    <s v="Vivaan Iyer"/>
    <n v="26"/>
    <x v="0"/>
    <x v="4"/>
    <x v="8"/>
    <s v="06-07-2025"/>
    <s v="27-07-2025"/>
    <s v="31-07-2025"/>
    <x v="4"/>
    <n v="70000"/>
    <n v="4"/>
    <n v="280000"/>
    <n v="168000"/>
    <x v="0"/>
    <x v="5"/>
    <n v="19600.000000000004"/>
    <x v="10"/>
    <x v="0"/>
    <x v="0"/>
    <n v="2025"/>
    <x v="1"/>
  </r>
  <r>
    <s v="B097"/>
    <s v="Aarohi Reddy"/>
    <n v="24"/>
    <x v="1"/>
    <x v="2"/>
    <x v="10"/>
    <s v="03-03-2025"/>
    <s v="31-03-2025"/>
    <s v="04-04-2025"/>
    <x v="2"/>
    <n v="80000"/>
    <n v="2"/>
    <n v="160000"/>
    <n v="96000"/>
    <x v="1"/>
    <x v="1"/>
    <n v="0"/>
    <x v="1"/>
    <x v="1"/>
    <x v="6"/>
    <n v="2025"/>
    <x v="6"/>
  </r>
  <r>
    <s v="B098"/>
    <s v="Aarav Sharma"/>
    <n v="24"/>
    <x v="0"/>
    <x v="3"/>
    <x v="9"/>
    <s v="26-01-2025"/>
    <s v="25-02-2025"/>
    <s v="04-03-2025"/>
    <x v="3"/>
    <n v="120000"/>
    <n v="3"/>
    <n v="360000"/>
    <n v="234000"/>
    <x v="0"/>
    <x v="4"/>
    <n v="54000"/>
    <x v="17"/>
    <x v="0"/>
    <x v="1"/>
    <n v="2025"/>
    <x v="6"/>
  </r>
  <r>
    <s v="B099"/>
    <s v="Isha Kulkarni"/>
    <n v="21"/>
    <x v="1"/>
    <x v="0"/>
    <x v="13"/>
    <s v="15-04-2025"/>
    <s v="28-04-2025"/>
    <s v="07-05-2025"/>
    <x v="0"/>
    <n v="18000"/>
    <n v="3"/>
    <n v="54000"/>
    <n v="27000"/>
    <x v="0"/>
    <x v="0"/>
    <n v="2700"/>
    <x v="5"/>
    <x v="0"/>
    <x v="4"/>
    <n v="2025"/>
    <x v="6"/>
  </r>
  <r>
    <s v="B100"/>
    <s v="Anil Shetty"/>
    <n v="18"/>
    <x v="0"/>
    <x v="4"/>
    <x v="13"/>
    <s v="08-05-2025"/>
    <s v="31-05-2025"/>
    <s v="07-06-2025"/>
    <x v="4"/>
    <n v="70000"/>
    <n v="4"/>
    <n v="280000"/>
    <n v="168000"/>
    <x v="1"/>
    <x v="1"/>
    <n v="0"/>
    <x v="1"/>
    <x v="1"/>
    <x v="2"/>
    <n v="2025"/>
    <x v="8"/>
  </r>
  <r>
    <s v="B101"/>
    <s v="Kabir Pandey"/>
    <n v="22"/>
    <x v="0"/>
    <x v="3"/>
    <x v="1"/>
    <s v="15-05-2025"/>
    <s v="11-06-2025"/>
    <s v="14-06-2025"/>
    <x v="3"/>
    <n v="120000"/>
    <n v="3"/>
    <n v="360000"/>
    <n v="234000"/>
    <x v="0"/>
    <x v="4"/>
    <n v="54000"/>
    <x v="17"/>
    <x v="0"/>
    <x v="2"/>
    <n v="2025"/>
    <x v="6"/>
  </r>
  <r>
    <s v="B102"/>
    <s v="Meera Gupta"/>
    <n v="30"/>
    <x v="1"/>
    <x v="3"/>
    <x v="8"/>
    <s v="06-05-2025"/>
    <s v="01-06-2025"/>
    <s v="04-06-2025"/>
    <x v="3"/>
    <n v="120000"/>
    <n v="2"/>
    <n v="240000"/>
    <n v="156000"/>
    <x v="1"/>
    <x v="1"/>
    <n v="0"/>
    <x v="1"/>
    <x v="1"/>
    <x v="2"/>
    <n v="2025"/>
    <x v="0"/>
  </r>
  <r>
    <s v="B103"/>
    <s v="Aditi Iyer"/>
    <n v="30"/>
    <x v="1"/>
    <x v="0"/>
    <x v="5"/>
    <s v="15-05-2025"/>
    <s v="07-06-2025"/>
    <s v="12-06-2025"/>
    <x v="0"/>
    <n v="18000"/>
    <n v="2"/>
    <n v="36000"/>
    <n v="18000"/>
    <x v="0"/>
    <x v="0"/>
    <n v="1800"/>
    <x v="14"/>
    <x v="0"/>
    <x v="2"/>
    <n v="2025"/>
    <x v="0"/>
  </r>
  <r>
    <s v="B104"/>
    <s v="Aditya Chowdhury"/>
    <n v="29"/>
    <x v="0"/>
    <x v="1"/>
    <x v="0"/>
    <s v="13-03-2025"/>
    <s v="05-04-2025"/>
    <s v="14-04-2025"/>
    <x v="1"/>
    <n v="60000"/>
    <n v="2"/>
    <n v="120000"/>
    <n v="78000"/>
    <x v="1"/>
    <x v="1"/>
    <n v="0"/>
    <x v="1"/>
    <x v="1"/>
    <x v="6"/>
    <n v="2025"/>
    <x v="1"/>
  </r>
  <r>
    <s v="B105"/>
    <s v="Suresh Kapoor"/>
    <n v="25"/>
    <x v="0"/>
    <x v="2"/>
    <x v="5"/>
    <s v="04-06-2025"/>
    <s v="19-06-2025"/>
    <s v="28-06-2025"/>
    <x v="2"/>
    <n v="80000"/>
    <n v="2"/>
    <n v="160000"/>
    <n v="96000"/>
    <x v="1"/>
    <x v="1"/>
    <n v="0"/>
    <x v="1"/>
    <x v="1"/>
    <x v="3"/>
    <n v="2025"/>
    <x v="1"/>
  </r>
  <r>
    <s v="B106"/>
    <s v="Nikhil Kapoor"/>
    <n v="51"/>
    <x v="0"/>
    <x v="4"/>
    <x v="13"/>
    <s v="10-01-2025"/>
    <s v="29-01-2025"/>
    <s v="07-02-2025"/>
    <x v="4"/>
    <n v="70000"/>
    <n v="2"/>
    <n v="140000"/>
    <n v="84000"/>
    <x v="1"/>
    <x v="1"/>
    <n v="0"/>
    <x v="1"/>
    <x v="1"/>
    <x v="1"/>
    <n v="2025"/>
    <x v="5"/>
  </r>
  <r>
    <s v="B107"/>
    <s v="Sanya Das"/>
    <n v="56"/>
    <x v="1"/>
    <x v="4"/>
    <x v="0"/>
    <s v="24-01-2025"/>
    <s v="21-02-2025"/>
    <s v="28-02-2025"/>
    <x v="4"/>
    <n v="70000"/>
    <n v="3"/>
    <n v="210000"/>
    <n v="126000"/>
    <x v="0"/>
    <x v="5"/>
    <n v="14700.000000000002"/>
    <x v="13"/>
    <x v="0"/>
    <x v="1"/>
    <n v="2025"/>
    <x v="4"/>
  </r>
  <r>
    <s v="B108"/>
    <s v="Ananya Das"/>
    <n v="21"/>
    <x v="1"/>
    <x v="0"/>
    <x v="13"/>
    <s v="24-05-2025"/>
    <s v="03-06-2025"/>
    <s v="06-06-2025"/>
    <x v="0"/>
    <n v="18000"/>
    <n v="3"/>
    <n v="54000"/>
    <n v="27000"/>
    <x v="1"/>
    <x v="1"/>
    <n v="0"/>
    <x v="1"/>
    <x v="1"/>
    <x v="2"/>
    <n v="2025"/>
    <x v="6"/>
  </r>
  <r>
    <s v="B109"/>
    <s v="Aarav Khan"/>
    <n v="50"/>
    <x v="0"/>
    <x v="4"/>
    <x v="13"/>
    <s v="04-06-2025"/>
    <s v="25-06-2025"/>
    <s v="03-07-2025"/>
    <x v="4"/>
    <n v="70000"/>
    <n v="2"/>
    <n v="140000"/>
    <n v="84000"/>
    <x v="0"/>
    <x v="5"/>
    <n v="9800.0000000000018"/>
    <x v="7"/>
    <x v="0"/>
    <x v="3"/>
    <n v="2025"/>
    <x v="5"/>
  </r>
  <r>
    <s v="B110"/>
    <s v="Ananya Shetty"/>
    <n v="54"/>
    <x v="1"/>
    <x v="3"/>
    <x v="11"/>
    <s v="06-06-2025"/>
    <s v="21-06-2025"/>
    <s v="29-06-2025"/>
    <x v="3"/>
    <n v="120000"/>
    <n v="4"/>
    <n v="480000"/>
    <n v="312000"/>
    <x v="1"/>
    <x v="1"/>
    <n v="0"/>
    <x v="1"/>
    <x v="1"/>
    <x v="3"/>
    <n v="2025"/>
    <x v="5"/>
  </r>
  <r>
    <s v="B111"/>
    <s v="Anil Bose"/>
    <n v="41"/>
    <x v="0"/>
    <x v="1"/>
    <x v="2"/>
    <s v="03-01-2025"/>
    <s v="14-01-2025"/>
    <s v="17-01-2025"/>
    <x v="1"/>
    <n v="60000"/>
    <n v="1"/>
    <n v="60000"/>
    <n v="39000"/>
    <x v="0"/>
    <x v="2"/>
    <n v="6000"/>
    <x v="15"/>
    <x v="0"/>
    <x v="1"/>
    <n v="2025"/>
    <x v="3"/>
  </r>
  <r>
    <s v="B112"/>
    <s v="Kabir Tripathi"/>
    <n v="33"/>
    <x v="0"/>
    <x v="2"/>
    <x v="8"/>
    <s v="21-01-2025"/>
    <s v="17-02-2025"/>
    <s v="21-02-2025"/>
    <x v="2"/>
    <n v="80000"/>
    <n v="2"/>
    <n v="160000"/>
    <n v="96000"/>
    <x v="1"/>
    <x v="1"/>
    <n v="0"/>
    <x v="1"/>
    <x v="1"/>
    <x v="1"/>
    <n v="2025"/>
    <x v="0"/>
  </r>
  <r>
    <s v="B113"/>
    <s v="Aarohi Kapoor"/>
    <n v="60"/>
    <x v="1"/>
    <x v="0"/>
    <x v="4"/>
    <s v="11-01-2025"/>
    <s v="07-02-2025"/>
    <s v="10-02-2025"/>
    <x v="0"/>
    <n v="18000"/>
    <n v="1"/>
    <n v="18000"/>
    <n v="9000"/>
    <x v="0"/>
    <x v="0"/>
    <n v="900"/>
    <x v="0"/>
    <x v="0"/>
    <x v="1"/>
    <n v="2025"/>
    <x v="9"/>
  </r>
  <r>
    <s v="B114"/>
    <s v="Meera Shetty"/>
    <n v="26"/>
    <x v="1"/>
    <x v="3"/>
    <x v="7"/>
    <s v="14-02-2025"/>
    <s v="22-02-2025"/>
    <s v="28-02-2025"/>
    <x v="3"/>
    <n v="120000"/>
    <n v="2"/>
    <n v="240000"/>
    <n v="156000"/>
    <x v="1"/>
    <x v="1"/>
    <n v="0"/>
    <x v="1"/>
    <x v="1"/>
    <x v="7"/>
    <n v="2025"/>
    <x v="1"/>
  </r>
  <r>
    <s v="B115"/>
    <s v="Harsh Kapoor"/>
    <n v="35"/>
    <x v="0"/>
    <x v="3"/>
    <x v="1"/>
    <s v="03-06-2025"/>
    <s v="19-06-2025"/>
    <s v="27-06-2025"/>
    <x v="3"/>
    <n v="120000"/>
    <n v="2"/>
    <n v="240000"/>
    <n v="156000"/>
    <x v="1"/>
    <x v="1"/>
    <n v="0"/>
    <x v="1"/>
    <x v="1"/>
    <x v="3"/>
    <n v="2025"/>
    <x v="7"/>
  </r>
  <r>
    <s v="B116"/>
    <s v="Siddharth Das"/>
    <n v="59"/>
    <x v="0"/>
    <x v="4"/>
    <x v="5"/>
    <s v="02-03-2025"/>
    <s v="29-03-2025"/>
    <s v="01-04-2025"/>
    <x v="4"/>
    <n v="70000"/>
    <n v="1"/>
    <n v="70000"/>
    <n v="42000"/>
    <x v="1"/>
    <x v="1"/>
    <n v="0"/>
    <x v="1"/>
    <x v="1"/>
    <x v="6"/>
    <n v="2025"/>
    <x v="4"/>
  </r>
  <r>
    <s v="B117"/>
    <s v="Aditya Joshi"/>
    <n v="36"/>
    <x v="0"/>
    <x v="3"/>
    <x v="1"/>
    <s v="10-06-2025"/>
    <s v="27-06-2025"/>
    <s v="04-07-2025"/>
    <x v="3"/>
    <n v="120000"/>
    <n v="4"/>
    <n v="480000"/>
    <n v="312000"/>
    <x v="1"/>
    <x v="1"/>
    <n v="0"/>
    <x v="1"/>
    <x v="1"/>
    <x v="3"/>
    <n v="2025"/>
    <x v="7"/>
  </r>
  <r>
    <s v="B118"/>
    <s v="Payal Kulkarni"/>
    <n v="55"/>
    <x v="1"/>
    <x v="0"/>
    <x v="4"/>
    <s v="10-04-2025"/>
    <s v="09-05-2025"/>
    <s v="18-05-2025"/>
    <x v="0"/>
    <n v="18000"/>
    <n v="2"/>
    <n v="36000"/>
    <n v="18000"/>
    <x v="1"/>
    <x v="1"/>
    <n v="0"/>
    <x v="1"/>
    <x v="1"/>
    <x v="4"/>
    <n v="2025"/>
    <x v="4"/>
  </r>
  <r>
    <s v="B119"/>
    <s v="Pooja Agarwal"/>
    <n v="26"/>
    <x v="1"/>
    <x v="2"/>
    <x v="4"/>
    <s v="18-01-2025"/>
    <s v="17-02-2025"/>
    <s v="20-02-2025"/>
    <x v="2"/>
    <n v="80000"/>
    <n v="2"/>
    <n v="160000"/>
    <n v="96000"/>
    <x v="0"/>
    <x v="3"/>
    <n v="19200"/>
    <x v="3"/>
    <x v="0"/>
    <x v="1"/>
    <n v="2025"/>
    <x v="1"/>
  </r>
  <r>
    <s v="B120"/>
    <s v="Bhavna Chowdhury"/>
    <n v="31"/>
    <x v="1"/>
    <x v="2"/>
    <x v="1"/>
    <s v="08-07-2025"/>
    <s v="15-07-2025"/>
    <s v="23-07-2025"/>
    <x v="2"/>
    <n v="80000"/>
    <n v="2"/>
    <n v="160000"/>
    <n v="96000"/>
    <x v="0"/>
    <x v="3"/>
    <n v="19200"/>
    <x v="3"/>
    <x v="0"/>
    <x v="0"/>
    <n v="2025"/>
    <x v="0"/>
  </r>
  <r>
    <s v="B121"/>
    <s v="Karan Pandey"/>
    <n v="28"/>
    <x v="0"/>
    <x v="3"/>
    <x v="8"/>
    <s v="02-02-2025"/>
    <s v="12-02-2025"/>
    <s v="15-02-2025"/>
    <x v="3"/>
    <n v="120000"/>
    <n v="4"/>
    <n v="480000"/>
    <n v="312000"/>
    <x v="0"/>
    <x v="4"/>
    <n v="72000"/>
    <x v="11"/>
    <x v="0"/>
    <x v="7"/>
    <n v="2025"/>
    <x v="1"/>
  </r>
  <r>
    <s v="B122"/>
    <s v="Nikhil Gupta"/>
    <n v="55"/>
    <x v="0"/>
    <x v="0"/>
    <x v="13"/>
    <s v="10-06-2025"/>
    <s v="20-06-2025"/>
    <s v="27-06-2025"/>
    <x v="0"/>
    <n v="18000"/>
    <n v="3"/>
    <n v="54000"/>
    <n v="27000"/>
    <x v="1"/>
    <x v="1"/>
    <n v="0"/>
    <x v="1"/>
    <x v="1"/>
    <x v="3"/>
    <n v="2025"/>
    <x v="4"/>
  </r>
  <r>
    <s v="B123"/>
    <s v="Bhavna Joshi"/>
    <n v="28"/>
    <x v="1"/>
    <x v="2"/>
    <x v="7"/>
    <s v="09-06-2025"/>
    <s v="28-06-2025"/>
    <s v="03-07-2025"/>
    <x v="2"/>
    <n v="80000"/>
    <n v="2"/>
    <n v="160000"/>
    <n v="96000"/>
    <x v="1"/>
    <x v="1"/>
    <n v="0"/>
    <x v="1"/>
    <x v="1"/>
    <x v="3"/>
    <n v="2025"/>
    <x v="1"/>
  </r>
  <r>
    <s v="B124"/>
    <s v="Pranav Patel"/>
    <n v="42"/>
    <x v="0"/>
    <x v="4"/>
    <x v="4"/>
    <s v="26-08-2025"/>
    <s v="10-09-2025"/>
    <s v="19-09-2025"/>
    <x v="4"/>
    <n v="70000"/>
    <n v="1"/>
    <n v="70000"/>
    <n v="42000"/>
    <x v="0"/>
    <x v="5"/>
    <n v="4900.0000000000009"/>
    <x v="9"/>
    <x v="0"/>
    <x v="5"/>
    <n v="2025"/>
    <x v="3"/>
  </r>
  <r>
    <s v="B125"/>
    <s v="Sunita Das"/>
    <n v="59"/>
    <x v="1"/>
    <x v="3"/>
    <x v="11"/>
    <s v="24-08-2025"/>
    <s v="05-09-2025"/>
    <s v="14-09-2025"/>
    <x v="3"/>
    <n v="120000"/>
    <n v="3"/>
    <n v="360000"/>
    <n v="234000"/>
    <x v="1"/>
    <x v="1"/>
    <n v="0"/>
    <x v="1"/>
    <x v="1"/>
    <x v="5"/>
    <n v="2025"/>
    <x v="4"/>
  </r>
  <r>
    <s v="B126"/>
    <s v="Ritika Das"/>
    <n v="42"/>
    <x v="1"/>
    <x v="1"/>
    <x v="2"/>
    <s v="07-02-2025"/>
    <s v="28-02-2025"/>
    <s v="05-03-2025"/>
    <x v="1"/>
    <n v="60000"/>
    <n v="3"/>
    <n v="180000"/>
    <n v="117000"/>
    <x v="0"/>
    <x v="2"/>
    <n v="18000"/>
    <x v="12"/>
    <x v="0"/>
    <x v="7"/>
    <n v="2025"/>
    <x v="3"/>
  </r>
  <r>
    <s v="B127"/>
    <s v="Vikas Kapoor"/>
    <n v="52"/>
    <x v="0"/>
    <x v="0"/>
    <x v="12"/>
    <s v="01-02-2025"/>
    <s v="03-03-2025"/>
    <s v="07-03-2025"/>
    <x v="0"/>
    <n v="18000"/>
    <n v="2"/>
    <n v="36000"/>
    <n v="18000"/>
    <x v="1"/>
    <x v="1"/>
    <n v="0"/>
    <x v="1"/>
    <x v="1"/>
    <x v="7"/>
    <n v="2025"/>
    <x v="5"/>
  </r>
  <r>
    <s v="B128"/>
    <s v="Kavya Jain"/>
    <n v="52"/>
    <x v="1"/>
    <x v="1"/>
    <x v="5"/>
    <s v="31-05-2025"/>
    <s v="05-06-2025"/>
    <s v="12-06-2025"/>
    <x v="1"/>
    <n v="60000"/>
    <n v="3"/>
    <n v="180000"/>
    <n v="117000"/>
    <x v="1"/>
    <x v="1"/>
    <n v="0"/>
    <x v="1"/>
    <x v="1"/>
    <x v="2"/>
    <n v="2025"/>
    <x v="5"/>
  </r>
  <r>
    <s v="B129"/>
    <s v="Suresh Pandey"/>
    <n v="29"/>
    <x v="0"/>
    <x v="2"/>
    <x v="11"/>
    <s v="12-06-2025"/>
    <s v="08-07-2025"/>
    <s v="18-07-2025"/>
    <x v="2"/>
    <n v="80000"/>
    <n v="2"/>
    <n v="160000"/>
    <n v="96000"/>
    <x v="1"/>
    <x v="1"/>
    <n v="0"/>
    <x v="1"/>
    <x v="1"/>
    <x v="3"/>
    <n v="2025"/>
    <x v="1"/>
  </r>
  <r>
    <s v="B130"/>
    <s v="Rahul Shetty"/>
    <n v="24"/>
    <x v="0"/>
    <x v="1"/>
    <x v="11"/>
    <s v="19-03-2025"/>
    <s v="31-03-2025"/>
    <s v="03-04-2025"/>
    <x v="1"/>
    <n v="60000"/>
    <n v="4"/>
    <n v="240000"/>
    <n v="156000"/>
    <x v="1"/>
    <x v="1"/>
    <n v="0"/>
    <x v="1"/>
    <x v="1"/>
    <x v="6"/>
    <n v="2025"/>
    <x v="6"/>
  </r>
  <r>
    <s v="B131"/>
    <s v="Vivaan Tripathi"/>
    <n v="54"/>
    <x v="0"/>
    <x v="0"/>
    <x v="4"/>
    <s v="17-08-2025"/>
    <s v="31-08-2025"/>
    <s v="08-09-2025"/>
    <x v="0"/>
    <n v="18000"/>
    <n v="2"/>
    <n v="36000"/>
    <n v="18000"/>
    <x v="0"/>
    <x v="0"/>
    <n v="1800"/>
    <x v="14"/>
    <x v="0"/>
    <x v="5"/>
    <n v="2025"/>
    <x v="5"/>
  </r>
  <r>
    <s v="B132"/>
    <s v="Sunita Reddy"/>
    <n v="27"/>
    <x v="1"/>
    <x v="0"/>
    <x v="0"/>
    <s v="23-07-2025"/>
    <s v="22-08-2025"/>
    <s v="31-08-2025"/>
    <x v="0"/>
    <n v="18000"/>
    <n v="2"/>
    <n v="36000"/>
    <n v="18000"/>
    <x v="0"/>
    <x v="0"/>
    <n v="1800"/>
    <x v="14"/>
    <x v="0"/>
    <x v="0"/>
    <n v="2025"/>
    <x v="1"/>
  </r>
  <r>
    <s v="B133"/>
    <s v="Aarohi Pandey"/>
    <n v="31"/>
    <x v="1"/>
    <x v="4"/>
    <x v="1"/>
    <s v="20-01-2025"/>
    <s v="14-02-2025"/>
    <s v="21-02-2025"/>
    <x v="4"/>
    <n v="70000"/>
    <n v="4"/>
    <n v="280000"/>
    <n v="168000"/>
    <x v="0"/>
    <x v="5"/>
    <n v="19600.000000000004"/>
    <x v="10"/>
    <x v="0"/>
    <x v="1"/>
    <n v="2025"/>
    <x v="0"/>
  </r>
  <r>
    <s v="B134"/>
    <s v="Rahul Khan"/>
    <n v="46"/>
    <x v="0"/>
    <x v="1"/>
    <x v="13"/>
    <s v="09-08-2025"/>
    <s v="01-09-2025"/>
    <s v="10-09-2025"/>
    <x v="1"/>
    <n v="60000"/>
    <n v="2"/>
    <n v="120000"/>
    <n v="78000"/>
    <x v="0"/>
    <x v="2"/>
    <n v="12000"/>
    <x v="6"/>
    <x v="0"/>
    <x v="5"/>
    <n v="2025"/>
    <x v="2"/>
  </r>
  <r>
    <s v="B135"/>
    <s v="Harsh Jain"/>
    <n v="19"/>
    <x v="0"/>
    <x v="4"/>
    <x v="13"/>
    <s v="10-08-2025"/>
    <s v="20-08-2025"/>
    <s v="24-08-2025"/>
    <x v="4"/>
    <n v="70000"/>
    <n v="4"/>
    <n v="280000"/>
    <n v="168000"/>
    <x v="1"/>
    <x v="1"/>
    <n v="0"/>
    <x v="1"/>
    <x v="1"/>
    <x v="5"/>
    <n v="2025"/>
    <x v="8"/>
  </r>
  <r>
    <s v="B136"/>
    <s v="Meera Iyer"/>
    <n v="30"/>
    <x v="1"/>
    <x v="2"/>
    <x v="5"/>
    <s v="18-05-2025"/>
    <s v="07-06-2025"/>
    <s v="15-06-2025"/>
    <x v="2"/>
    <n v="80000"/>
    <n v="4"/>
    <n v="320000"/>
    <n v="192000"/>
    <x v="0"/>
    <x v="3"/>
    <n v="38400"/>
    <x v="18"/>
    <x v="0"/>
    <x v="2"/>
    <n v="2025"/>
    <x v="0"/>
  </r>
  <r>
    <s v="B137"/>
    <s v="Arjun Khan"/>
    <n v="30"/>
    <x v="0"/>
    <x v="1"/>
    <x v="13"/>
    <s v="20-07-2025"/>
    <s v="12-08-2025"/>
    <s v="22-08-2025"/>
    <x v="1"/>
    <n v="60000"/>
    <n v="4"/>
    <n v="240000"/>
    <n v="156000"/>
    <x v="1"/>
    <x v="1"/>
    <n v="0"/>
    <x v="1"/>
    <x v="1"/>
    <x v="0"/>
    <n v="2025"/>
    <x v="0"/>
  </r>
  <r>
    <s v="B138"/>
    <s v="Krishna Kulkarni"/>
    <n v="53"/>
    <x v="0"/>
    <x v="4"/>
    <x v="13"/>
    <s v="23-05-2025"/>
    <s v="30-05-2025"/>
    <s v="02-06-2025"/>
    <x v="4"/>
    <n v="70000"/>
    <n v="1"/>
    <n v="70000"/>
    <n v="42000"/>
    <x v="1"/>
    <x v="1"/>
    <n v="0"/>
    <x v="1"/>
    <x v="1"/>
    <x v="2"/>
    <n v="2025"/>
    <x v="5"/>
  </r>
  <r>
    <s v="B139"/>
    <s v="Ramesh Patel"/>
    <n v="21"/>
    <x v="0"/>
    <x v="4"/>
    <x v="11"/>
    <s v="02-05-2025"/>
    <s v="23-05-2025"/>
    <s v="02-06-2025"/>
    <x v="4"/>
    <n v="70000"/>
    <n v="1"/>
    <n v="70000"/>
    <n v="42000"/>
    <x v="1"/>
    <x v="1"/>
    <n v="0"/>
    <x v="1"/>
    <x v="1"/>
    <x v="2"/>
    <n v="2025"/>
    <x v="6"/>
  </r>
  <r>
    <s v="B140"/>
    <s v="Neha Kapoor"/>
    <n v="46"/>
    <x v="1"/>
    <x v="4"/>
    <x v="8"/>
    <s v="11-01-2025"/>
    <s v="21-01-2025"/>
    <s v="28-01-2025"/>
    <x v="4"/>
    <n v="70000"/>
    <n v="3"/>
    <n v="210000"/>
    <n v="126000"/>
    <x v="1"/>
    <x v="1"/>
    <n v="0"/>
    <x v="1"/>
    <x v="1"/>
    <x v="1"/>
    <n v="2025"/>
    <x v="2"/>
  </r>
  <r>
    <s v="B141"/>
    <s v="Ritika Agarwal"/>
    <n v="25"/>
    <x v="1"/>
    <x v="4"/>
    <x v="11"/>
    <s v="29-08-2025"/>
    <s v="22-09-2025"/>
    <s v="25-09-2025"/>
    <x v="4"/>
    <n v="70000"/>
    <n v="3"/>
    <n v="210000"/>
    <n v="126000"/>
    <x v="1"/>
    <x v="1"/>
    <n v="0"/>
    <x v="1"/>
    <x v="1"/>
    <x v="5"/>
    <n v="2025"/>
    <x v="1"/>
  </r>
  <r>
    <s v="B142"/>
    <s v="Vikas Menon"/>
    <n v="44"/>
    <x v="0"/>
    <x v="3"/>
    <x v="2"/>
    <s v="22-05-2025"/>
    <s v="12-06-2025"/>
    <s v="16-06-2025"/>
    <x v="3"/>
    <n v="120000"/>
    <n v="1"/>
    <n v="120000"/>
    <n v="78000"/>
    <x v="1"/>
    <x v="1"/>
    <n v="0"/>
    <x v="1"/>
    <x v="1"/>
    <x v="2"/>
    <n v="2025"/>
    <x v="3"/>
  </r>
  <r>
    <s v="B143"/>
    <s v="Krishna Menon"/>
    <n v="54"/>
    <x v="0"/>
    <x v="0"/>
    <x v="13"/>
    <s v="17-08-2025"/>
    <s v="25-08-2025"/>
    <s v="30-08-2025"/>
    <x v="0"/>
    <n v="18000"/>
    <n v="3"/>
    <n v="54000"/>
    <n v="27000"/>
    <x v="1"/>
    <x v="1"/>
    <n v="0"/>
    <x v="1"/>
    <x v="1"/>
    <x v="5"/>
    <n v="2025"/>
    <x v="5"/>
  </r>
  <r>
    <s v="B144"/>
    <s v="Diya Reddy"/>
    <n v="41"/>
    <x v="1"/>
    <x v="4"/>
    <x v="8"/>
    <s v="02-06-2025"/>
    <s v="25-06-2025"/>
    <s v="05-07-2025"/>
    <x v="4"/>
    <n v="70000"/>
    <n v="1"/>
    <n v="70000"/>
    <n v="42000"/>
    <x v="0"/>
    <x v="5"/>
    <n v="4900.0000000000009"/>
    <x v="9"/>
    <x v="0"/>
    <x v="3"/>
    <n v="2025"/>
    <x v="3"/>
  </r>
  <r>
    <s v="B145"/>
    <s v="Arjun Joshi"/>
    <n v="28"/>
    <x v="0"/>
    <x v="2"/>
    <x v="5"/>
    <s v="29-06-2025"/>
    <s v="15-07-2025"/>
    <s v="24-07-2025"/>
    <x v="2"/>
    <n v="80000"/>
    <n v="2"/>
    <n v="160000"/>
    <n v="96000"/>
    <x v="0"/>
    <x v="3"/>
    <n v="19200"/>
    <x v="3"/>
    <x v="0"/>
    <x v="3"/>
    <n v="2025"/>
    <x v="1"/>
  </r>
  <r>
    <s v="B146"/>
    <s v="Diya Shetty"/>
    <n v="36"/>
    <x v="1"/>
    <x v="1"/>
    <x v="5"/>
    <s v="18-05-2025"/>
    <s v="05-06-2025"/>
    <s v="08-06-2025"/>
    <x v="1"/>
    <n v="60000"/>
    <n v="4"/>
    <n v="240000"/>
    <n v="156000"/>
    <x v="0"/>
    <x v="2"/>
    <n v="24000"/>
    <x v="2"/>
    <x v="0"/>
    <x v="2"/>
    <n v="2025"/>
    <x v="7"/>
  </r>
  <r>
    <s v="B147"/>
    <s v="Sanya Joshi"/>
    <n v="24"/>
    <x v="1"/>
    <x v="2"/>
    <x v="1"/>
    <s v="06-07-2025"/>
    <s v="26-07-2025"/>
    <s v="04-08-2025"/>
    <x v="2"/>
    <n v="80000"/>
    <n v="2"/>
    <n v="160000"/>
    <n v="96000"/>
    <x v="1"/>
    <x v="1"/>
    <n v="0"/>
    <x v="1"/>
    <x v="1"/>
    <x v="0"/>
    <n v="2025"/>
    <x v="6"/>
  </r>
  <r>
    <s v="B148"/>
    <s v="Pooja Khan"/>
    <n v="51"/>
    <x v="1"/>
    <x v="4"/>
    <x v="2"/>
    <s v="09-01-2025"/>
    <s v="31-01-2025"/>
    <s v="08-02-2025"/>
    <x v="4"/>
    <n v="70000"/>
    <n v="3"/>
    <n v="210000"/>
    <n v="126000"/>
    <x v="1"/>
    <x v="1"/>
    <n v="0"/>
    <x v="1"/>
    <x v="1"/>
    <x v="1"/>
    <n v="2025"/>
    <x v="5"/>
  </r>
  <r>
    <s v="B149"/>
    <s v="Nikhil Kulkarni"/>
    <n v="54"/>
    <x v="0"/>
    <x v="4"/>
    <x v="1"/>
    <s v="08-06-2025"/>
    <s v="22-06-2025"/>
    <s v="02-07-2025"/>
    <x v="4"/>
    <n v="70000"/>
    <n v="2"/>
    <n v="140000"/>
    <n v="84000"/>
    <x v="0"/>
    <x v="5"/>
    <n v="9800.0000000000018"/>
    <x v="7"/>
    <x v="0"/>
    <x v="3"/>
    <n v="2025"/>
    <x v="5"/>
  </r>
  <r>
    <s v="B150"/>
    <s v="Anil Mishra"/>
    <n v="31"/>
    <x v="0"/>
    <x v="2"/>
    <x v="0"/>
    <s v="03-04-2025"/>
    <s v="23-04-2025"/>
    <s v="29-04-2025"/>
    <x v="2"/>
    <n v="80000"/>
    <n v="2"/>
    <n v="160000"/>
    <n v="96000"/>
    <x v="1"/>
    <x v="1"/>
    <n v="0"/>
    <x v="1"/>
    <x v="1"/>
    <x v="4"/>
    <n v="2025"/>
    <x v="0"/>
  </r>
  <r>
    <s v="B151"/>
    <s v="Ritika Kulkarni"/>
    <n v="26"/>
    <x v="1"/>
    <x v="1"/>
    <x v="2"/>
    <s v="21-04-2025"/>
    <s v="07-05-2025"/>
    <s v="15-05-2025"/>
    <x v="1"/>
    <n v="60000"/>
    <n v="4"/>
    <n v="240000"/>
    <n v="156000"/>
    <x v="1"/>
    <x v="1"/>
    <n v="0"/>
    <x v="1"/>
    <x v="1"/>
    <x v="4"/>
    <n v="2025"/>
    <x v="1"/>
  </r>
  <r>
    <s v="B152"/>
    <s v="Shreya Reddy"/>
    <n v="50"/>
    <x v="1"/>
    <x v="4"/>
    <x v="11"/>
    <s v="18-05-2025"/>
    <s v="09-06-2025"/>
    <s v="16-06-2025"/>
    <x v="4"/>
    <n v="70000"/>
    <n v="4"/>
    <n v="280000"/>
    <n v="168000"/>
    <x v="1"/>
    <x v="1"/>
    <n v="0"/>
    <x v="1"/>
    <x v="1"/>
    <x v="2"/>
    <n v="2025"/>
    <x v="5"/>
  </r>
  <r>
    <s v="B153"/>
    <s v="Sameer Patel"/>
    <n v="27"/>
    <x v="0"/>
    <x v="2"/>
    <x v="2"/>
    <s v="01-07-2025"/>
    <s v="13-07-2025"/>
    <s v="20-07-2025"/>
    <x v="2"/>
    <n v="80000"/>
    <n v="2"/>
    <n v="160000"/>
    <n v="96000"/>
    <x v="0"/>
    <x v="3"/>
    <n v="19200"/>
    <x v="3"/>
    <x v="0"/>
    <x v="0"/>
    <n v="2025"/>
    <x v="1"/>
  </r>
  <r>
    <s v="B154"/>
    <s v="Payal Menon"/>
    <n v="27"/>
    <x v="1"/>
    <x v="2"/>
    <x v="2"/>
    <s v="08-01-2025"/>
    <s v="21-01-2025"/>
    <s v="29-01-2025"/>
    <x v="2"/>
    <n v="80000"/>
    <n v="2"/>
    <n v="160000"/>
    <n v="96000"/>
    <x v="1"/>
    <x v="1"/>
    <n v="0"/>
    <x v="1"/>
    <x v="1"/>
    <x v="1"/>
    <n v="2025"/>
    <x v="1"/>
  </r>
  <r>
    <s v="B155"/>
    <s v="Suresh Khan"/>
    <n v="26"/>
    <x v="0"/>
    <x v="2"/>
    <x v="4"/>
    <s v="11-07-2025"/>
    <s v="01-08-2025"/>
    <s v="05-08-2025"/>
    <x v="2"/>
    <n v="80000"/>
    <n v="2"/>
    <n v="160000"/>
    <n v="96000"/>
    <x v="1"/>
    <x v="1"/>
    <n v="0"/>
    <x v="1"/>
    <x v="1"/>
    <x v="0"/>
    <n v="2025"/>
    <x v="1"/>
  </r>
  <r>
    <s v="B156"/>
    <s v="Shreya Gupta"/>
    <n v="38"/>
    <x v="1"/>
    <x v="0"/>
    <x v="15"/>
    <s v="29-03-2025"/>
    <s v="27-04-2025"/>
    <s v="02-05-2025"/>
    <x v="0"/>
    <n v="18000"/>
    <n v="3"/>
    <n v="54000"/>
    <n v="27000"/>
    <x v="0"/>
    <x v="0"/>
    <n v="2700"/>
    <x v="5"/>
    <x v="0"/>
    <x v="6"/>
    <n v="2025"/>
    <x v="7"/>
  </r>
  <r>
    <s v="B157"/>
    <s v="Ramesh Agarwal"/>
    <n v="29"/>
    <x v="0"/>
    <x v="4"/>
    <x v="7"/>
    <s v="16-05-2025"/>
    <s v="03-06-2025"/>
    <s v="09-06-2025"/>
    <x v="4"/>
    <n v="70000"/>
    <n v="1"/>
    <n v="70000"/>
    <n v="42000"/>
    <x v="0"/>
    <x v="5"/>
    <n v="4900.0000000000009"/>
    <x v="9"/>
    <x v="0"/>
    <x v="2"/>
    <n v="2025"/>
    <x v="1"/>
  </r>
  <r>
    <s v="B158"/>
    <s v="Harsh Pandey"/>
    <n v="43"/>
    <x v="0"/>
    <x v="4"/>
    <x v="11"/>
    <s v="16-02-2025"/>
    <s v="09-03-2025"/>
    <s v="14-03-2025"/>
    <x v="4"/>
    <n v="70000"/>
    <n v="4"/>
    <n v="280000"/>
    <n v="168000"/>
    <x v="0"/>
    <x v="5"/>
    <n v="19600.000000000004"/>
    <x v="10"/>
    <x v="0"/>
    <x v="7"/>
    <n v="2025"/>
    <x v="3"/>
  </r>
  <r>
    <s v="B159"/>
    <s v="Payal Agarwal"/>
    <n v="47"/>
    <x v="1"/>
    <x v="3"/>
    <x v="2"/>
    <s v="19-04-2025"/>
    <s v="17-05-2025"/>
    <s v="22-05-2025"/>
    <x v="3"/>
    <n v="120000"/>
    <n v="2"/>
    <n v="240000"/>
    <n v="156000"/>
    <x v="0"/>
    <x v="4"/>
    <n v="36000"/>
    <x v="8"/>
    <x v="0"/>
    <x v="4"/>
    <n v="2025"/>
    <x v="2"/>
  </r>
  <r>
    <s v="B160"/>
    <s v="Priya Das"/>
    <n v="49"/>
    <x v="1"/>
    <x v="3"/>
    <x v="3"/>
    <s v="31-01-2025"/>
    <s v="15-02-2025"/>
    <s v="23-02-2025"/>
    <x v="3"/>
    <n v="120000"/>
    <n v="4"/>
    <n v="480000"/>
    <n v="312000"/>
    <x v="1"/>
    <x v="1"/>
    <n v="0"/>
    <x v="1"/>
    <x v="1"/>
    <x v="1"/>
    <n v="2025"/>
    <x v="2"/>
  </r>
  <r>
    <s v="B161"/>
    <s v="Rahul Patel"/>
    <n v="46"/>
    <x v="0"/>
    <x v="0"/>
    <x v="5"/>
    <s v="25-01-2025"/>
    <s v="22-02-2025"/>
    <s v="01-03-2025"/>
    <x v="0"/>
    <n v="18000"/>
    <n v="1"/>
    <n v="18000"/>
    <n v="9000"/>
    <x v="0"/>
    <x v="0"/>
    <n v="900"/>
    <x v="0"/>
    <x v="0"/>
    <x v="1"/>
    <n v="2025"/>
    <x v="2"/>
  </r>
  <r>
    <s v="B162"/>
    <s v="Meera Tripathi"/>
    <n v="44"/>
    <x v="1"/>
    <x v="0"/>
    <x v="13"/>
    <s v="27-05-2025"/>
    <s v="14-06-2025"/>
    <s v="21-06-2025"/>
    <x v="0"/>
    <n v="18000"/>
    <n v="3"/>
    <n v="54000"/>
    <n v="27000"/>
    <x v="1"/>
    <x v="1"/>
    <n v="0"/>
    <x v="1"/>
    <x v="1"/>
    <x v="2"/>
    <n v="2025"/>
    <x v="3"/>
  </r>
  <r>
    <s v="B163"/>
    <s v="Swati Chowdhury"/>
    <n v="42"/>
    <x v="1"/>
    <x v="0"/>
    <x v="0"/>
    <s v="12-02-2025"/>
    <s v="05-03-2025"/>
    <s v="11-03-2025"/>
    <x v="0"/>
    <n v="18000"/>
    <n v="1"/>
    <n v="18000"/>
    <n v="9000"/>
    <x v="1"/>
    <x v="1"/>
    <n v="0"/>
    <x v="1"/>
    <x v="1"/>
    <x v="7"/>
    <n v="2025"/>
    <x v="3"/>
  </r>
  <r>
    <s v="B164"/>
    <s v="Ananya Reddy"/>
    <n v="39"/>
    <x v="1"/>
    <x v="0"/>
    <x v="5"/>
    <s v="26-03-2025"/>
    <s v="03-04-2025"/>
    <s v="13-04-2025"/>
    <x v="0"/>
    <n v="18000"/>
    <n v="3"/>
    <n v="54000"/>
    <n v="27000"/>
    <x v="0"/>
    <x v="0"/>
    <n v="2700"/>
    <x v="5"/>
    <x v="0"/>
    <x v="6"/>
    <n v="2025"/>
    <x v="7"/>
  </r>
  <r>
    <s v="B165"/>
    <s v="Kavya Iyer"/>
    <n v="30"/>
    <x v="1"/>
    <x v="1"/>
    <x v="11"/>
    <s v="25-07-2025"/>
    <s v="20-08-2025"/>
    <s v="28-08-2025"/>
    <x v="1"/>
    <n v="60000"/>
    <n v="3"/>
    <n v="180000"/>
    <n v="117000"/>
    <x v="1"/>
    <x v="1"/>
    <n v="0"/>
    <x v="1"/>
    <x v="1"/>
    <x v="0"/>
    <n v="2025"/>
    <x v="0"/>
  </r>
  <r>
    <s v="B166"/>
    <s v="Payal Jain"/>
    <n v="19"/>
    <x v="1"/>
    <x v="3"/>
    <x v="1"/>
    <s v="12-06-2025"/>
    <s v="08-07-2025"/>
    <s v="15-07-2025"/>
    <x v="3"/>
    <n v="120000"/>
    <n v="1"/>
    <n v="120000"/>
    <n v="78000"/>
    <x v="1"/>
    <x v="1"/>
    <n v="0"/>
    <x v="1"/>
    <x v="1"/>
    <x v="3"/>
    <n v="2025"/>
    <x v="8"/>
  </r>
  <r>
    <s v="B167"/>
    <s v="Karan Patel"/>
    <n v="25"/>
    <x v="0"/>
    <x v="2"/>
    <x v="11"/>
    <s v="10-03-2025"/>
    <s v="07-04-2025"/>
    <s v="10-04-2025"/>
    <x v="2"/>
    <n v="80000"/>
    <n v="2"/>
    <n v="160000"/>
    <n v="96000"/>
    <x v="0"/>
    <x v="3"/>
    <n v="19200"/>
    <x v="3"/>
    <x v="0"/>
    <x v="6"/>
    <n v="2025"/>
    <x v="1"/>
  </r>
  <r>
    <s v="B168"/>
    <s v="Deepak Menon"/>
    <n v="26"/>
    <x v="0"/>
    <x v="2"/>
    <x v="8"/>
    <s v="24-06-2025"/>
    <s v="14-07-2025"/>
    <s v="19-07-2025"/>
    <x v="2"/>
    <n v="80000"/>
    <n v="2"/>
    <n v="160000"/>
    <n v="96000"/>
    <x v="0"/>
    <x v="3"/>
    <n v="19200"/>
    <x v="3"/>
    <x v="0"/>
    <x v="3"/>
    <n v="2025"/>
    <x v="1"/>
  </r>
  <r>
    <s v="B169"/>
    <s v="Sanya Bose"/>
    <n v="57"/>
    <x v="1"/>
    <x v="4"/>
    <x v="1"/>
    <s v="09-02-2025"/>
    <s v="18-02-2025"/>
    <s v="25-02-2025"/>
    <x v="4"/>
    <n v="70000"/>
    <n v="5"/>
    <n v="350000"/>
    <n v="210000"/>
    <x v="1"/>
    <x v="1"/>
    <n v="0"/>
    <x v="1"/>
    <x v="1"/>
    <x v="7"/>
    <n v="2025"/>
    <x v="4"/>
  </r>
  <r>
    <s v="B170"/>
    <s v="Vikas Agarwal"/>
    <n v="32"/>
    <x v="0"/>
    <x v="2"/>
    <x v="5"/>
    <s v="23-04-2025"/>
    <s v="08-05-2025"/>
    <s v="12-05-2025"/>
    <x v="2"/>
    <n v="80000"/>
    <n v="2"/>
    <n v="160000"/>
    <n v="96000"/>
    <x v="1"/>
    <x v="1"/>
    <n v="0"/>
    <x v="1"/>
    <x v="1"/>
    <x v="4"/>
    <n v="2025"/>
    <x v="0"/>
  </r>
  <r>
    <s v="B171"/>
    <s v="Siddharth Menon"/>
    <n v="33"/>
    <x v="0"/>
    <x v="0"/>
    <x v="0"/>
    <s v="07-03-2025"/>
    <s v="12-03-2025"/>
    <s v="18-03-2025"/>
    <x v="0"/>
    <n v="18000"/>
    <n v="1"/>
    <n v="18000"/>
    <n v="9000"/>
    <x v="0"/>
    <x v="0"/>
    <n v="900"/>
    <x v="0"/>
    <x v="0"/>
    <x v="6"/>
    <n v="2025"/>
    <x v="0"/>
  </r>
  <r>
    <s v="B172"/>
    <s v="Karan Joshi"/>
    <n v="50"/>
    <x v="0"/>
    <x v="1"/>
    <x v="10"/>
    <s v="12-02-2025"/>
    <s v="05-03-2025"/>
    <s v="09-03-2025"/>
    <x v="1"/>
    <n v="60000"/>
    <n v="1"/>
    <n v="60000"/>
    <n v="39000"/>
    <x v="1"/>
    <x v="1"/>
    <n v="0"/>
    <x v="1"/>
    <x v="1"/>
    <x v="7"/>
    <n v="2025"/>
    <x v="5"/>
  </r>
  <r>
    <s v="B173"/>
    <s v="Bhavna Bose"/>
    <n v="33"/>
    <x v="1"/>
    <x v="1"/>
    <x v="4"/>
    <s v="03-01-2025"/>
    <s v="09-01-2025"/>
    <s v="14-01-2025"/>
    <x v="1"/>
    <n v="60000"/>
    <n v="2"/>
    <n v="120000"/>
    <n v="78000"/>
    <x v="1"/>
    <x v="1"/>
    <n v="0"/>
    <x v="1"/>
    <x v="1"/>
    <x v="1"/>
    <n v="2025"/>
    <x v="0"/>
  </r>
  <r>
    <s v="B174"/>
    <s v="Ritika Iyer"/>
    <n v="25"/>
    <x v="1"/>
    <x v="2"/>
    <x v="13"/>
    <s v="08-03-2025"/>
    <s v="04-04-2025"/>
    <s v="09-04-2025"/>
    <x v="2"/>
    <n v="80000"/>
    <n v="2"/>
    <n v="160000"/>
    <n v="96000"/>
    <x v="0"/>
    <x v="3"/>
    <n v="19200"/>
    <x v="3"/>
    <x v="0"/>
    <x v="6"/>
    <n v="2025"/>
    <x v="1"/>
  </r>
  <r>
    <s v="B175"/>
    <s v="Priya Agarwal"/>
    <n v="27"/>
    <x v="1"/>
    <x v="0"/>
    <x v="18"/>
    <s v="24-07-2025"/>
    <s v="07-08-2025"/>
    <s v="16-08-2025"/>
    <x v="0"/>
    <n v="18000"/>
    <n v="4"/>
    <n v="72000"/>
    <n v="36000"/>
    <x v="0"/>
    <x v="0"/>
    <n v="3600"/>
    <x v="16"/>
    <x v="0"/>
    <x v="0"/>
    <n v="2025"/>
    <x v="1"/>
  </r>
  <r>
    <s v="B176"/>
    <s v="Rahul Sharma"/>
    <n v="56"/>
    <x v="0"/>
    <x v="3"/>
    <x v="9"/>
    <s v="18-04-2025"/>
    <s v="03-05-2025"/>
    <s v="10-05-2025"/>
    <x v="3"/>
    <n v="120000"/>
    <n v="3"/>
    <n v="360000"/>
    <n v="234000"/>
    <x v="1"/>
    <x v="1"/>
    <n v="0"/>
    <x v="1"/>
    <x v="1"/>
    <x v="4"/>
    <n v="2025"/>
    <x v="4"/>
  </r>
  <r>
    <s v="B177"/>
    <s v="Neha Pandey"/>
    <n v="48"/>
    <x v="1"/>
    <x v="4"/>
    <x v="2"/>
    <s v="26-05-2025"/>
    <s v="04-06-2025"/>
    <s v="08-06-2025"/>
    <x v="4"/>
    <n v="70000"/>
    <n v="1"/>
    <n v="70000"/>
    <n v="42000"/>
    <x v="1"/>
    <x v="1"/>
    <n v="0"/>
    <x v="1"/>
    <x v="1"/>
    <x v="2"/>
    <n v="2025"/>
    <x v="2"/>
  </r>
  <r>
    <s v="B178"/>
    <s v="Kabir Kapoor"/>
    <n v="59"/>
    <x v="0"/>
    <x v="3"/>
    <x v="3"/>
    <s v="05-04-2025"/>
    <s v="25-04-2025"/>
    <s v="01-05-2025"/>
    <x v="3"/>
    <n v="120000"/>
    <n v="1"/>
    <n v="120000"/>
    <n v="78000"/>
    <x v="1"/>
    <x v="1"/>
    <n v="0"/>
    <x v="1"/>
    <x v="1"/>
    <x v="4"/>
    <n v="2025"/>
    <x v="4"/>
  </r>
  <r>
    <s v="B179"/>
    <s v="Krishna Sharma"/>
    <n v="54"/>
    <x v="0"/>
    <x v="3"/>
    <x v="10"/>
    <s v="13-01-2025"/>
    <s v="23-01-2025"/>
    <s v="30-01-2025"/>
    <x v="3"/>
    <n v="120000"/>
    <n v="2"/>
    <n v="240000"/>
    <n v="156000"/>
    <x v="1"/>
    <x v="1"/>
    <n v="0"/>
    <x v="1"/>
    <x v="1"/>
    <x v="1"/>
    <n v="2025"/>
    <x v="5"/>
  </r>
  <r>
    <s v="B180"/>
    <s v="Vikas Nair"/>
    <n v="56"/>
    <x v="0"/>
    <x v="0"/>
    <x v="13"/>
    <s v="30-04-2025"/>
    <s v="10-05-2025"/>
    <s v="16-05-2025"/>
    <x v="0"/>
    <n v="18000"/>
    <n v="3"/>
    <n v="54000"/>
    <n v="27000"/>
    <x v="0"/>
    <x v="0"/>
    <n v="2700"/>
    <x v="5"/>
    <x v="0"/>
    <x v="4"/>
    <n v="2025"/>
    <x v="4"/>
  </r>
  <r>
    <s v="B181"/>
    <s v="Manish Agarwal"/>
    <n v="41"/>
    <x v="0"/>
    <x v="1"/>
    <x v="4"/>
    <s v="24-01-2025"/>
    <s v="02-02-2025"/>
    <s v="07-02-2025"/>
    <x v="1"/>
    <n v="60000"/>
    <n v="2"/>
    <n v="120000"/>
    <n v="78000"/>
    <x v="0"/>
    <x v="2"/>
    <n v="12000"/>
    <x v="6"/>
    <x v="0"/>
    <x v="1"/>
    <n v="2025"/>
    <x v="3"/>
  </r>
  <r>
    <s v="B182"/>
    <s v="Arjun Sharma"/>
    <n v="54"/>
    <x v="0"/>
    <x v="4"/>
    <x v="13"/>
    <s v="13-02-2025"/>
    <s v="08-03-2025"/>
    <s v="18-03-2025"/>
    <x v="4"/>
    <n v="70000"/>
    <n v="2"/>
    <n v="140000"/>
    <n v="84000"/>
    <x v="0"/>
    <x v="5"/>
    <n v="9800.0000000000018"/>
    <x v="7"/>
    <x v="0"/>
    <x v="7"/>
    <n v="2025"/>
    <x v="5"/>
  </r>
  <r>
    <s v="B183"/>
    <s v="Ramesh Tripathi"/>
    <n v="25"/>
    <x v="0"/>
    <x v="2"/>
    <x v="0"/>
    <s v="10-05-2025"/>
    <s v="16-05-2025"/>
    <s v="22-05-2025"/>
    <x v="2"/>
    <n v="80000"/>
    <n v="2"/>
    <n v="160000"/>
    <n v="96000"/>
    <x v="1"/>
    <x v="1"/>
    <n v="0"/>
    <x v="1"/>
    <x v="1"/>
    <x v="2"/>
    <n v="2025"/>
    <x v="1"/>
  </r>
  <r>
    <s v="B184"/>
    <s v="Kabir Shetty"/>
    <n v="29"/>
    <x v="0"/>
    <x v="1"/>
    <x v="13"/>
    <s v="05-02-2025"/>
    <s v="12-02-2025"/>
    <s v="18-02-2025"/>
    <x v="1"/>
    <n v="60000"/>
    <n v="4"/>
    <n v="240000"/>
    <n v="156000"/>
    <x v="1"/>
    <x v="1"/>
    <n v="0"/>
    <x v="1"/>
    <x v="1"/>
    <x v="7"/>
    <n v="2025"/>
    <x v="1"/>
  </r>
  <r>
    <s v="B185"/>
    <s v="Nisha Tripathi"/>
    <n v="23"/>
    <x v="1"/>
    <x v="2"/>
    <x v="2"/>
    <s v="01-01-2025"/>
    <s v="08-01-2025"/>
    <s v="17-01-2025"/>
    <x v="2"/>
    <n v="80000"/>
    <n v="2"/>
    <n v="160000"/>
    <n v="96000"/>
    <x v="1"/>
    <x v="1"/>
    <n v="0"/>
    <x v="1"/>
    <x v="1"/>
    <x v="1"/>
    <n v="2025"/>
    <x v="6"/>
  </r>
  <r>
    <s v="B186"/>
    <s v="Ritika Mishra"/>
    <n v="24"/>
    <x v="1"/>
    <x v="4"/>
    <x v="5"/>
    <s v="25-02-2025"/>
    <s v="02-03-2025"/>
    <s v="06-03-2025"/>
    <x v="4"/>
    <n v="70000"/>
    <n v="2"/>
    <n v="140000"/>
    <n v="84000"/>
    <x v="1"/>
    <x v="1"/>
    <n v="0"/>
    <x v="1"/>
    <x v="1"/>
    <x v="7"/>
    <n v="2025"/>
    <x v="6"/>
  </r>
  <r>
    <s v="B187"/>
    <s v="Komal Agarwal"/>
    <n v="42"/>
    <x v="1"/>
    <x v="4"/>
    <x v="5"/>
    <s v="24-02-2025"/>
    <s v="13-03-2025"/>
    <s v="23-03-2025"/>
    <x v="4"/>
    <n v="70000"/>
    <n v="1"/>
    <n v="70000"/>
    <n v="42000"/>
    <x v="1"/>
    <x v="1"/>
    <n v="0"/>
    <x v="1"/>
    <x v="1"/>
    <x v="7"/>
    <n v="2025"/>
    <x v="3"/>
  </r>
  <r>
    <s v="B188"/>
    <s v="Swati Nair"/>
    <n v="32"/>
    <x v="1"/>
    <x v="2"/>
    <x v="5"/>
    <s v="08-03-2025"/>
    <s v="14-03-2025"/>
    <s v="24-03-2025"/>
    <x v="2"/>
    <n v="80000"/>
    <n v="4"/>
    <n v="320000"/>
    <n v="192000"/>
    <x v="1"/>
    <x v="1"/>
    <n v="0"/>
    <x v="1"/>
    <x v="1"/>
    <x v="6"/>
    <n v="2025"/>
    <x v="0"/>
  </r>
  <r>
    <s v="B189"/>
    <s v="Ananya Nair"/>
    <n v="56"/>
    <x v="1"/>
    <x v="1"/>
    <x v="13"/>
    <s v="03-08-2025"/>
    <s v="10-08-2025"/>
    <s v="20-08-2025"/>
    <x v="1"/>
    <n v="60000"/>
    <n v="1"/>
    <n v="60000"/>
    <n v="39000"/>
    <x v="0"/>
    <x v="2"/>
    <n v="6000"/>
    <x v="15"/>
    <x v="0"/>
    <x v="5"/>
    <n v="2025"/>
    <x v="4"/>
  </r>
  <r>
    <s v="B190"/>
    <s v="Ananya Patel"/>
    <n v="42"/>
    <x v="1"/>
    <x v="0"/>
    <x v="13"/>
    <s v="11-01-2025"/>
    <s v="25-01-2025"/>
    <s v="30-01-2025"/>
    <x v="0"/>
    <n v="18000"/>
    <n v="1"/>
    <n v="18000"/>
    <n v="9000"/>
    <x v="1"/>
    <x v="1"/>
    <n v="0"/>
    <x v="1"/>
    <x v="1"/>
    <x v="1"/>
    <n v="2025"/>
    <x v="3"/>
  </r>
  <r>
    <s v="B191"/>
    <s v="Aarohi Mishra"/>
    <n v="49"/>
    <x v="1"/>
    <x v="4"/>
    <x v="13"/>
    <s v="13-02-2025"/>
    <s v="21-02-2025"/>
    <s v="25-02-2025"/>
    <x v="4"/>
    <n v="70000"/>
    <n v="2"/>
    <n v="140000"/>
    <n v="84000"/>
    <x v="0"/>
    <x v="5"/>
    <n v="9800.0000000000018"/>
    <x v="7"/>
    <x v="0"/>
    <x v="7"/>
    <n v="2025"/>
    <x v="2"/>
  </r>
  <r>
    <s v="B192"/>
    <s v="Isha Nair"/>
    <n v="47"/>
    <x v="1"/>
    <x v="0"/>
    <x v="13"/>
    <s v="12-07-2025"/>
    <s v="17-07-2025"/>
    <s v="21-07-2025"/>
    <x v="0"/>
    <n v="18000"/>
    <n v="1"/>
    <n v="18000"/>
    <n v="9000"/>
    <x v="1"/>
    <x v="1"/>
    <n v="0"/>
    <x v="1"/>
    <x v="1"/>
    <x v="0"/>
    <n v="2025"/>
    <x v="2"/>
  </r>
  <r>
    <s v="B193"/>
    <s v="Arjun Agarwal"/>
    <n v="33"/>
    <x v="0"/>
    <x v="4"/>
    <x v="2"/>
    <s v="02-05-2025"/>
    <s v="30-05-2025"/>
    <s v="03-06-2025"/>
    <x v="4"/>
    <n v="70000"/>
    <n v="1"/>
    <n v="70000"/>
    <n v="42000"/>
    <x v="1"/>
    <x v="1"/>
    <n v="0"/>
    <x v="1"/>
    <x v="1"/>
    <x v="2"/>
    <n v="2025"/>
    <x v="0"/>
  </r>
  <r>
    <s v="B194"/>
    <s v="Aarav Reddy"/>
    <n v="19"/>
    <x v="0"/>
    <x v="1"/>
    <x v="4"/>
    <s v="08-05-2025"/>
    <s v="01-06-2025"/>
    <s v="11-06-2025"/>
    <x v="1"/>
    <n v="60000"/>
    <n v="3"/>
    <n v="180000"/>
    <n v="117000"/>
    <x v="1"/>
    <x v="1"/>
    <n v="0"/>
    <x v="1"/>
    <x v="1"/>
    <x v="2"/>
    <n v="2025"/>
    <x v="8"/>
  </r>
  <r>
    <s v="B195"/>
    <s v="Kabir Menon"/>
    <n v="59"/>
    <x v="0"/>
    <x v="0"/>
    <x v="0"/>
    <s v="22-08-2025"/>
    <s v="07-09-2025"/>
    <s v="11-09-2025"/>
    <x v="0"/>
    <n v="18000"/>
    <n v="2"/>
    <n v="36000"/>
    <n v="18000"/>
    <x v="0"/>
    <x v="0"/>
    <n v="1800"/>
    <x v="14"/>
    <x v="0"/>
    <x v="5"/>
    <n v="2025"/>
    <x v="4"/>
  </r>
  <r>
    <s v="B196"/>
    <s v="Priya Jain"/>
    <n v="40"/>
    <x v="1"/>
    <x v="4"/>
    <x v="8"/>
    <s v="25-03-2025"/>
    <s v="22-04-2025"/>
    <s v="28-04-2025"/>
    <x v="4"/>
    <n v="70000"/>
    <n v="3"/>
    <n v="210000"/>
    <n v="126000"/>
    <x v="1"/>
    <x v="1"/>
    <n v="0"/>
    <x v="1"/>
    <x v="1"/>
    <x v="6"/>
    <n v="2025"/>
    <x v="3"/>
  </r>
  <r>
    <s v="B197"/>
    <s v="Aditya Sharma"/>
    <n v="37"/>
    <x v="0"/>
    <x v="0"/>
    <x v="12"/>
    <s v="25-01-2025"/>
    <s v="01-02-2025"/>
    <s v="10-02-2025"/>
    <x v="0"/>
    <n v="18000"/>
    <n v="1"/>
    <n v="18000"/>
    <n v="9000"/>
    <x v="0"/>
    <x v="0"/>
    <n v="900"/>
    <x v="0"/>
    <x v="0"/>
    <x v="1"/>
    <n v="2025"/>
    <x v="7"/>
  </r>
  <r>
    <s v="B198"/>
    <s v="Priya Iyer"/>
    <n v="29"/>
    <x v="1"/>
    <x v="2"/>
    <x v="2"/>
    <s v="23-08-2025"/>
    <s v="08-09-2025"/>
    <s v="14-09-2025"/>
    <x v="2"/>
    <n v="80000"/>
    <n v="2"/>
    <n v="160000"/>
    <n v="96000"/>
    <x v="0"/>
    <x v="3"/>
    <n v="19200"/>
    <x v="3"/>
    <x v="0"/>
    <x v="5"/>
    <n v="2025"/>
    <x v="1"/>
  </r>
  <r>
    <s v="B199"/>
    <s v="Deepak Das"/>
    <n v="21"/>
    <x v="0"/>
    <x v="4"/>
    <x v="5"/>
    <s v="30-03-2025"/>
    <s v="09-04-2025"/>
    <s v="15-04-2025"/>
    <x v="4"/>
    <n v="70000"/>
    <n v="2"/>
    <n v="140000"/>
    <n v="84000"/>
    <x v="1"/>
    <x v="1"/>
    <n v="0"/>
    <x v="1"/>
    <x v="1"/>
    <x v="6"/>
    <n v="2025"/>
    <x v="6"/>
  </r>
  <r>
    <s v="B200"/>
    <s v="Aarav Gupta"/>
    <n v="48"/>
    <x v="0"/>
    <x v="3"/>
    <x v="9"/>
    <s v="28-04-2025"/>
    <s v="10-05-2025"/>
    <s v="14-05-2025"/>
    <x v="3"/>
    <n v="120000"/>
    <n v="3"/>
    <n v="360000"/>
    <n v="234000"/>
    <x v="1"/>
    <x v="1"/>
    <n v="0"/>
    <x v="1"/>
    <x v="1"/>
    <x v="4"/>
    <n v="2025"/>
    <x v="2"/>
  </r>
  <r>
    <s v="B201"/>
    <s v="Vikas Bose"/>
    <n v="29"/>
    <x v="0"/>
    <x v="0"/>
    <x v="17"/>
    <s v="11-05-2025"/>
    <s v="19-05-2025"/>
    <s v="29-05-2025"/>
    <x v="0"/>
    <n v="18000"/>
    <n v="2"/>
    <n v="36000"/>
    <n v="18000"/>
    <x v="1"/>
    <x v="1"/>
    <n v="0"/>
    <x v="1"/>
    <x v="1"/>
    <x v="2"/>
    <n v="2025"/>
    <x v="1"/>
  </r>
  <r>
    <s v="B202"/>
    <s v="Priya Kapoor"/>
    <n v="36"/>
    <x v="1"/>
    <x v="0"/>
    <x v="5"/>
    <s v="18-03-2025"/>
    <s v="29-03-2025"/>
    <s v="02-04-2025"/>
    <x v="0"/>
    <n v="18000"/>
    <n v="1"/>
    <n v="18000"/>
    <n v="9000"/>
    <x v="1"/>
    <x v="1"/>
    <n v="0"/>
    <x v="1"/>
    <x v="1"/>
    <x v="6"/>
    <n v="2025"/>
    <x v="7"/>
  </r>
  <r>
    <s v="B203"/>
    <s v="Siddharth Joshi"/>
    <n v="28"/>
    <x v="0"/>
    <x v="4"/>
    <x v="10"/>
    <s v="03-02-2025"/>
    <s v="13-02-2025"/>
    <s v="17-02-2025"/>
    <x v="4"/>
    <n v="70000"/>
    <n v="1"/>
    <n v="70000"/>
    <n v="42000"/>
    <x v="0"/>
    <x v="5"/>
    <n v="4900.0000000000009"/>
    <x v="9"/>
    <x v="0"/>
    <x v="7"/>
    <n v="2025"/>
    <x v="1"/>
  </r>
  <r>
    <s v="B204"/>
    <s v="Aditi Kulkarni"/>
    <n v="50"/>
    <x v="1"/>
    <x v="4"/>
    <x v="1"/>
    <s v="12-04-2025"/>
    <s v="12-05-2025"/>
    <s v="16-05-2025"/>
    <x v="4"/>
    <n v="70000"/>
    <n v="4"/>
    <n v="280000"/>
    <n v="168000"/>
    <x v="1"/>
    <x v="1"/>
    <n v="0"/>
    <x v="1"/>
    <x v="1"/>
    <x v="4"/>
    <n v="2025"/>
    <x v="5"/>
  </r>
  <r>
    <s v="B205"/>
    <s v="Aarav Shetty"/>
    <n v="52"/>
    <x v="0"/>
    <x v="3"/>
    <x v="7"/>
    <s v="03-08-2025"/>
    <s v="24-08-2025"/>
    <s v="30-08-2025"/>
    <x v="3"/>
    <n v="120000"/>
    <n v="3"/>
    <n v="360000"/>
    <n v="234000"/>
    <x v="0"/>
    <x v="4"/>
    <n v="54000"/>
    <x v="17"/>
    <x v="0"/>
    <x v="5"/>
    <n v="2025"/>
    <x v="5"/>
  </r>
  <r>
    <s v="B206"/>
    <s v="Rohan Chowdhury"/>
    <n v="52"/>
    <x v="0"/>
    <x v="3"/>
    <x v="3"/>
    <s v="12-04-2025"/>
    <s v="21-04-2025"/>
    <s v="28-04-2025"/>
    <x v="3"/>
    <n v="120000"/>
    <n v="2"/>
    <n v="240000"/>
    <n v="156000"/>
    <x v="1"/>
    <x v="1"/>
    <n v="0"/>
    <x v="1"/>
    <x v="1"/>
    <x v="4"/>
    <n v="2025"/>
    <x v="5"/>
  </r>
  <r>
    <s v="B207"/>
    <s v="Swati Bose"/>
    <n v="49"/>
    <x v="1"/>
    <x v="1"/>
    <x v="1"/>
    <s v="25-02-2025"/>
    <s v="07-03-2025"/>
    <s v="14-03-2025"/>
    <x v="1"/>
    <n v="60000"/>
    <n v="3"/>
    <n v="180000"/>
    <n v="117000"/>
    <x v="0"/>
    <x v="2"/>
    <n v="18000"/>
    <x v="12"/>
    <x v="0"/>
    <x v="7"/>
    <n v="2025"/>
    <x v="2"/>
  </r>
  <r>
    <s v="B208"/>
    <s v="Siddharth Kapoor"/>
    <n v="55"/>
    <x v="0"/>
    <x v="3"/>
    <x v="9"/>
    <s v="21-02-2025"/>
    <s v="03-03-2025"/>
    <s v="06-03-2025"/>
    <x v="3"/>
    <n v="120000"/>
    <n v="2"/>
    <n v="240000"/>
    <n v="156000"/>
    <x v="1"/>
    <x v="1"/>
    <n v="0"/>
    <x v="1"/>
    <x v="1"/>
    <x v="7"/>
    <n v="2025"/>
    <x v="4"/>
  </r>
  <r>
    <s v="B209"/>
    <s v="Sanya Patel"/>
    <n v="18"/>
    <x v="1"/>
    <x v="4"/>
    <x v="13"/>
    <s v="18-07-2025"/>
    <s v="10-08-2025"/>
    <s v="20-08-2025"/>
    <x v="4"/>
    <n v="70000"/>
    <n v="2"/>
    <n v="140000"/>
    <n v="84000"/>
    <x v="0"/>
    <x v="5"/>
    <n v="9800.0000000000018"/>
    <x v="7"/>
    <x v="0"/>
    <x v="0"/>
    <n v="2025"/>
    <x v="8"/>
  </r>
  <r>
    <s v="B210"/>
    <s v="Anil Chowdhury"/>
    <n v="29"/>
    <x v="0"/>
    <x v="2"/>
    <x v="0"/>
    <s v="05-05-2025"/>
    <s v="30-05-2025"/>
    <s v="04-06-2025"/>
    <x v="2"/>
    <n v="80000"/>
    <n v="2"/>
    <n v="160000"/>
    <n v="96000"/>
    <x v="0"/>
    <x v="3"/>
    <n v="19200"/>
    <x v="3"/>
    <x v="0"/>
    <x v="2"/>
    <n v="2025"/>
    <x v="1"/>
  </r>
  <r>
    <s v="B211"/>
    <s v="Bhavna Jain"/>
    <n v="28"/>
    <x v="1"/>
    <x v="2"/>
    <x v="4"/>
    <s v="27-07-2025"/>
    <s v="06-08-2025"/>
    <s v="09-08-2025"/>
    <x v="2"/>
    <n v="80000"/>
    <n v="4"/>
    <n v="320000"/>
    <n v="192000"/>
    <x v="1"/>
    <x v="1"/>
    <n v="0"/>
    <x v="1"/>
    <x v="1"/>
    <x v="0"/>
    <n v="2025"/>
    <x v="1"/>
  </r>
  <r>
    <s v="B212"/>
    <s v="Kavya Khan"/>
    <n v="43"/>
    <x v="1"/>
    <x v="1"/>
    <x v="1"/>
    <s v="26-05-2025"/>
    <s v="19-06-2025"/>
    <s v="22-06-2025"/>
    <x v="1"/>
    <n v="60000"/>
    <n v="1"/>
    <n v="60000"/>
    <n v="39000"/>
    <x v="0"/>
    <x v="2"/>
    <n v="6000"/>
    <x v="15"/>
    <x v="0"/>
    <x v="2"/>
    <n v="2025"/>
    <x v="3"/>
  </r>
  <r>
    <s v="B213"/>
    <s v="Bhavna Shetty"/>
    <n v="26"/>
    <x v="1"/>
    <x v="2"/>
    <x v="10"/>
    <s v="11-07-2025"/>
    <s v="23-07-2025"/>
    <s v="29-07-2025"/>
    <x v="2"/>
    <n v="80000"/>
    <n v="2"/>
    <n v="160000"/>
    <n v="96000"/>
    <x v="1"/>
    <x v="1"/>
    <n v="0"/>
    <x v="1"/>
    <x v="1"/>
    <x v="0"/>
    <n v="2025"/>
    <x v="1"/>
  </r>
  <r>
    <s v="B214"/>
    <s v="Rahul Mishra"/>
    <n v="57"/>
    <x v="0"/>
    <x v="4"/>
    <x v="8"/>
    <s v="23-02-2025"/>
    <s v="23-03-2025"/>
    <s v="29-03-2025"/>
    <x v="4"/>
    <n v="70000"/>
    <n v="3"/>
    <n v="210000"/>
    <n v="126000"/>
    <x v="1"/>
    <x v="1"/>
    <n v="0"/>
    <x v="1"/>
    <x v="1"/>
    <x v="7"/>
    <n v="2025"/>
    <x v="4"/>
  </r>
  <r>
    <s v="B215"/>
    <s v="Neha Mishra"/>
    <n v="21"/>
    <x v="1"/>
    <x v="0"/>
    <x v="5"/>
    <s v="23-04-2025"/>
    <s v="04-05-2025"/>
    <s v="13-05-2025"/>
    <x v="0"/>
    <n v="18000"/>
    <n v="3"/>
    <n v="54000"/>
    <n v="27000"/>
    <x v="0"/>
    <x v="0"/>
    <n v="2700"/>
    <x v="5"/>
    <x v="0"/>
    <x v="4"/>
    <n v="2025"/>
    <x v="6"/>
  </r>
  <r>
    <s v="B216"/>
    <s v="Payal Chowdhury"/>
    <n v="41"/>
    <x v="1"/>
    <x v="3"/>
    <x v="9"/>
    <s v="19-03-2025"/>
    <s v="30-03-2025"/>
    <s v="02-04-2025"/>
    <x v="3"/>
    <n v="120000"/>
    <n v="3"/>
    <n v="360000"/>
    <n v="234000"/>
    <x v="1"/>
    <x v="1"/>
    <n v="0"/>
    <x v="1"/>
    <x v="1"/>
    <x v="6"/>
    <n v="2025"/>
    <x v="3"/>
  </r>
  <r>
    <s v="B217"/>
    <s v="Sameer Joshi"/>
    <n v="45"/>
    <x v="0"/>
    <x v="4"/>
    <x v="7"/>
    <s v="14-08-2025"/>
    <s v="31-08-2025"/>
    <s v="04-09-2025"/>
    <x v="4"/>
    <n v="70000"/>
    <n v="4"/>
    <n v="280000"/>
    <n v="168000"/>
    <x v="1"/>
    <x v="1"/>
    <n v="0"/>
    <x v="1"/>
    <x v="1"/>
    <x v="5"/>
    <n v="2025"/>
    <x v="2"/>
  </r>
  <r>
    <s v="B218"/>
    <s v="Nikhil Patel"/>
    <n v="26"/>
    <x v="0"/>
    <x v="1"/>
    <x v="8"/>
    <s v="11-01-2025"/>
    <s v="22-01-2025"/>
    <s v="29-01-2025"/>
    <x v="1"/>
    <n v="60000"/>
    <n v="3"/>
    <n v="180000"/>
    <n v="117000"/>
    <x v="1"/>
    <x v="1"/>
    <n v="0"/>
    <x v="1"/>
    <x v="1"/>
    <x v="1"/>
    <n v="2025"/>
    <x v="1"/>
  </r>
  <r>
    <s v="B219"/>
    <s v="Arjun Kapoor"/>
    <n v="19"/>
    <x v="0"/>
    <x v="3"/>
    <x v="10"/>
    <s v="18-04-2025"/>
    <s v="28-04-2025"/>
    <s v="08-05-2025"/>
    <x v="3"/>
    <n v="120000"/>
    <n v="2"/>
    <n v="240000"/>
    <n v="156000"/>
    <x v="0"/>
    <x v="4"/>
    <n v="36000"/>
    <x v="8"/>
    <x v="0"/>
    <x v="4"/>
    <n v="2025"/>
    <x v="8"/>
  </r>
  <r>
    <s v="B220"/>
    <s v="Arjun Patel"/>
    <n v="31"/>
    <x v="0"/>
    <x v="2"/>
    <x v="1"/>
    <s v="25-05-2025"/>
    <s v="18-06-2025"/>
    <s v="26-06-2025"/>
    <x v="2"/>
    <n v="80000"/>
    <n v="2"/>
    <n v="160000"/>
    <n v="96000"/>
    <x v="0"/>
    <x v="3"/>
    <n v="19200"/>
    <x v="3"/>
    <x v="0"/>
    <x v="2"/>
    <n v="2025"/>
    <x v="0"/>
  </r>
  <r>
    <s v="B221"/>
    <s v="Siddharth Pandey"/>
    <n v="27"/>
    <x v="0"/>
    <x v="2"/>
    <x v="11"/>
    <s v="22-01-2025"/>
    <s v="12-02-2025"/>
    <s v="18-02-2025"/>
    <x v="2"/>
    <n v="80000"/>
    <n v="2"/>
    <n v="160000"/>
    <n v="96000"/>
    <x v="1"/>
    <x v="1"/>
    <n v="0"/>
    <x v="1"/>
    <x v="1"/>
    <x v="1"/>
    <n v="2025"/>
    <x v="1"/>
  </r>
  <r>
    <s v="B222"/>
    <s v="Anil Agarwal"/>
    <n v="26"/>
    <x v="0"/>
    <x v="0"/>
    <x v="0"/>
    <s v="02-06-2025"/>
    <s v="13-06-2025"/>
    <s v="22-06-2025"/>
    <x v="0"/>
    <n v="18000"/>
    <n v="4"/>
    <n v="72000"/>
    <n v="36000"/>
    <x v="0"/>
    <x v="0"/>
    <n v="3600"/>
    <x v="16"/>
    <x v="0"/>
    <x v="3"/>
    <n v="2025"/>
    <x v="1"/>
  </r>
  <r>
    <s v="B223"/>
    <s v="Priya Kulkarni"/>
    <n v="36"/>
    <x v="1"/>
    <x v="4"/>
    <x v="10"/>
    <s v="06-03-2025"/>
    <s v="22-03-2025"/>
    <s v="26-03-2025"/>
    <x v="4"/>
    <n v="70000"/>
    <n v="3"/>
    <n v="210000"/>
    <n v="126000"/>
    <x v="0"/>
    <x v="5"/>
    <n v="14700.000000000002"/>
    <x v="13"/>
    <x v="0"/>
    <x v="6"/>
    <n v="2025"/>
    <x v="7"/>
  </r>
  <r>
    <s v="B224"/>
    <s v="Neha Gupta"/>
    <n v="34"/>
    <x v="1"/>
    <x v="1"/>
    <x v="2"/>
    <s v="27-05-2025"/>
    <s v="22-06-2025"/>
    <s v="26-06-2025"/>
    <x v="1"/>
    <n v="60000"/>
    <n v="4"/>
    <n v="240000"/>
    <n v="156000"/>
    <x v="0"/>
    <x v="2"/>
    <n v="24000"/>
    <x v="2"/>
    <x v="0"/>
    <x v="2"/>
    <n v="2025"/>
    <x v="0"/>
  </r>
  <r>
    <s v="B225"/>
    <s v="Anil Kulkarni"/>
    <n v="56"/>
    <x v="0"/>
    <x v="0"/>
    <x v="14"/>
    <s v="04-03-2025"/>
    <s v="09-03-2025"/>
    <s v="18-03-2025"/>
    <x v="0"/>
    <n v="18000"/>
    <n v="3"/>
    <n v="54000"/>
    <n v="27000"/>
    <x v="1"/>
    <x v="1"/>
    <n v="0"/>
    <x v="1"/>
    <x v="1"/>
    <x v="6"/>
    <n v="2025"/>
    <x v="4"/>
  </r>
  <r>
    <s v="B226"/>
    <s v="Ananya Iyer"/>
    <n v="26"/>
    <x v="1"/>
    <x v="4"/>
    <x v="4"/>
    <s v="14-05-2025"/>
    <s v="30-05-2025"/>
    <s v="08-06-2025"/>
    <x v="4"/>
    <n v="70000"/>
    <n v="4"/>
    <n v="280000"/>
    <n v="168000"/>
    <x v="0"/>
    <x v="5"/>
    <n v="19600.000000000004"/>
    <x v="10"/>
    <x v="0"/>
    <x v="2"/>
    <n v="2025"/>
    <x v="1"/>
  </r>
  <r>
    <s v="B227"/>
    <s v="Kabir Agarwal"/>
    <n v="58"/>
    <x v="0"/>
    <x v="4"/>
    <x v="10"/>
    <s v="11-07-2025"/>
    <s v="10-08-2025"/>
    <s v="19-08-2025"/>
    <x v="4"/>
    <n v="70000"/>
    <n v="3"/>
    <n v="210000"/>
    <n v="126000"/>
    <x v="0"/>
    <x v="5"/>
    <n v="14700.000000000002"/>
    <x v="13"/>
    <x v="0"/>
    <x v="0"/>
    <n v="2025"/>
    <x v="4"/>
  </r>
  <r>
    <s v="B228"/>
    <s v="Nisha Kapoor"/>
    <n v="28"/>
    <x v="1"/>
    <x v="3"/>
    <x v="1"/>
    <s v="18-07-2025"/>
    <s v="15-08-2025"/>
    <s v="18-08-2025"/>
    <x v="3"/>
    <n v="120000"/>
    <n v="3"/>
    <n v="360000"/>
    <n v="234000"/>
    <x v="0"/>
    <x v="4"/>
    <n v="54000"/>
    <x v="17"/>
    <x v="0"/>
    <x v="0"/>
    <n v="2025"/>
    <x v="1"/>
  </r>
  <r>
    <s v="B229"/>
    <s v="Bhavna Menon"/>
    <n v="22"/>
    <x v="1"/>
    <x v="1"/>
    <x v="0"/>
    <s v="23-05-2025"/>
    <s v="18-06-2025"/>
    <s v="26-06-2025"/>
    <x v="1"/>
    <n v="60000"/>
    <n v="3"/>
    <n v="180000"/>
    <n v="117000"/>
    <x v="0"/>
    <x v="2"/>
    <n v="18000"/>
    <x v="12"/>
    <x v="0"/>
    <x v="2"/>
    <n v="2025"/>
    <x v="6"/>
  </r>
  <r>
    <s v="B230"/>
    <s v="Aarohi Patel"/>
    <n v="23"/>
    <x v="1"/>
    <x v="3"/>
    <x v="2"/>
    <s v="22-01-2025"/>
    <s v="15-02-2025"/>
    <s v="21-02-2025"/>
    <x v="3"/>
    <n v="120000"/>
    <n v="3"/>
    <n v="360000"/>
    <n v="234000"/>
    <x v="1"/>
    <x v="1"/>
    <n v="0"/>
    <x v="1"/>
    <x v="1"/>
    <x v="1"/>
    <n v="2025"/>
    <x v="6"/>
  </r>
  <r>
    <s v="B231"/>
    <s v="Aditya Jain"/>
    <n v="32"/>
    <x v="0"/>
    <x v="2"/>
    <x v="13"/>
    <s v="19-07-2025"/>
    <s v="09-08-2025"/>
    <s v="12-08-2025"/>
    <x v="2"/>
    <n v="80000"/>
    <n v="2"/>
    <n v="160000"/>
    <n v="96000"/>
    <x v="1"/>
    <x v="1"/>
    <n v="0"/>
    <x v="1"/>
    <x v="1"/>
    <x v="0"/>
    <n v="2025"/>
    <x v="0"/>
  </r>
  <r>
    <s v="B232"/>
    <s v="Karan Agarwal"/>
    <n v="39"/>
    <x v="0"/>
    <x v="1"/>
    <x v="1"/>
    <s v="25-04-2025"/>
    <s v="23-05-2025"/>
    <s v="28-05-2025"/>
    <x v="1"/>
    <n v="60000"/>
    <n v="3"/>
    <n v="180000"/>
    <n v="117000"/>
    <x v="1"/>
    <x v="1"/>
    <n v="0"/>
    <x v="1"/>
    <x v="1"/>
    <x v="4"/>
    <n v="2025"/>
    <x v="7"/>
  </r>
  <r>
    <s v="B233"/>
    <s v="Harsh Agarwal"/>
    <n v="37"/>
    <x v="0"/>
    <x v="0"/>
    <x v="15"/>
    <s v="01-03-2025"/>
    <s v="21-03-2025"/>
    <s v="26-03-2025"/>
    <x v="0"/>
    <n v="18000"/>
    <n v="3"/>
    <n v="54000"/>
    <n v="27000"/>
    <x v="1"/>
    <x v="1"/>
    <n v="0"/>
    <x v="1"/>
    <x v="1"/>
    <x v="6"/>
    <n v="2025"/>
    <x v="7"/>
  </r>
  <r>
    <s v="B234"/>
    <s v="Rahul Bose"/>
    <n v="52"/>
    <x v="0"/>
    <x v="3"/>
    <x v="7"/>
    <s v="13-03-2025"/>
    <s v="01-04-2025"/>
    <s v="06-04-2025"/>
    <x v="3"/>
    <n v="120000"/>
    <n v="2"/>
    <n v="240000"/>
    <n v="156000"/>
    <x v="0"/>
    <x v="4"/>
    <n v="36000"/>
    <x v="8"/>
    <x v="0"/>
    <x v="6"/>
    <n v="2025"/>
    <x v="5"/>
  </r>
  <r>
    <s v="B235"/>
    <s v="Diya Pandey"/>
    <n v="19"/>
    <x v="1"/>
    <x v="0"/>
    <x v="0"/>
    <s v="17-06-2025"/>
    <s v="23-06-2025"/>
    <s v="27-06-2025"/>
    <x v="0"/>
    <n v="18000"/>
    <n v="1"/>
    <n v="18000"/>
    <n v="9000"/>
    <x v="1"/>
    <x v="1"/>
    <n v="0"/>
    <x v="1"/>
    <x v="1"/>
    <x v="3"/>
    <n v="2025"/>
    <x v="8"/>
  </r>
  <r>
    <s v="B236"/>
    <s v="Vivaan Sharma"/>
    <n v="43"/>
    <x v="0"/>
    <x v="4"/>
    <x v="2"/>
    <s v="24-02-2025"/>
    <s v="12-03-2025"/>
    <s v="19-03-2025"/>
    <x v="4"/>
    <n v="70000"/>
    <n v="1"/>
    <n v="70000"/>
    <n v="42000"/>
    <x v="1"/>
    <x v="1"/>
    <n v="0"/>
    <x v="1"/>
    <x v="1"/>
    <x v="7"/>
    <n v="2025"/>
    <x v="3"/>
  </r>
  <r>
    <s v="B237"/>
    <s v="Isha Chowdhury"/>
    <n v="19"/>
    <x v="1"/>
    <x v="3"/>
    <x v="10"/>
    <s v="20-05-2025"/>
    <s v="26-05-2025"/>
    <s v="01-06-2025"/>
    <x v="3"/>
    <n v="120000"/>
    <n v="3"/>
    <n v="360000"/>
    <n v="234000"/>
    <x v="1"/>
    <x v="1"/>
    <n v="0"/>
    <x v="1"/>
    <x v="1"/>
    <x v="2"/>
    <n v="2025"/>
    <x v="8"/>
  </r>
  <r>
    <s v="B238"/>
    <s v="Rahul Iyer"/>
    <n v="30"/>
    <x v="0"/>
    <x v="3"/>
    <x v="3"/>
    <s v="12-01-2025"/>
    <s v="09-02-2025"/>
    <s v="12-02-2025"/>
    <x v="3"/>
    <n v="120000"/>
    <n v="3"/>
    <n v="360000"/>
    <n v="234000"/>
    <x v="0"/>
    <x v="4"/>
    <n v="54000"/>
    <x v="17"/>
    <x v="0"/>
    <x v="1"/>
    <n v="2025"/>
    <x v="0"/>
  </r>
  <r>
    <s v="B239"/>
    <s v="Bhavna Gupta"/>
    <n v="19"/>
    <x v="1"/>
    <x v="4"/>
    <x v="1"/>
    <s v="12-06-2025"/>
    <s v="07-07-2025"/>
    <s v="13-07-2025"/>
    <x v="4"/>
    <n v="70000"/>
    <n v="4"/>
    <n v="280000"/>
    <n v="168000"/>
    <x v="0"/>
    <x v="5"/>
    <n v="19600.000000000004"/>
    <x v="10"/>
    <x v="0"/>
    <x v="3"/>
    <n v="2025"/>
    <x v="8"/>
  </r>
  <r>
    <s v="B240"/>
    <s v="Sanya Reddy"/>
    <n v="30"/>
    <x v="1"/>
    <x v="2"/>
    <x v="7"/>
    <s v="24-02-2025"/>
    <s v="13-03-2025"/>
    <s v="17-03-2025"/>
    <x v="2"/>
    <n v="80000"/>
    <n v="2"/>
    <n v="160000"/>
    <n v="96000"/>
    <x v="0"/>
    <x v="3"/>
    <n v="19200"/>
    <x v="3"/>
    <x v="0"/>
    <x v="7"/>
    <n v="2025"/>
    <x v="0"/>
  </r>
  <r>
    <s v="B241"/>
    <s v="Harsh Kulkarni"/>
    <n v="50"/>
    <x v="0"/>
    <x v="4"/>
    <x v="1"/>
    <s v="29-07-2025"/>
    <s v="22-08-2025"/>
    <s v="30-08-2025"/>
    <x v="4"/>
    <n v="70000"/>
    <n v="3"/>
    <n v="210000"/>
    <n v="126000"/>
    <x v="1"/>
    <x v="1"/>
    <n v="0"/>
    <x v="1"/>
    <x v="1"/>
    <x v="0"/>
    <n v="2025"/>
    <x v="5"/>
  </r>
  <r>
    <s v="B242"/>
    <s v="Aditya Kapoor"/>
    <n v="18"/>
    <x v="0"/>
    <x v="0"/>
    <x v="5"/>
    <s v="15-02-2025"/>
    <s v="12-03-2025"/>
    <s v="21-03-2025"/>
    <x v="0"/>
    <n v="18000"/>
    <n v="4"/>
    <n v="72000"/>
    <n v="36000"/>
    <x v="0"/>
    <x v="0"/>
    <n v="3600"/>
    <x v="16"/>
    <x v="0"/>
    <x v="7"/>
    <n v="2025"/>
    <x v="8"/>
  </r>
  <r>
    <s v="B243"/>
    <s v="Siddharth Nair"/>
    <n v="52"/>
    <x v="0"/>
    <x v="0"/>
    <x v="15"/>
    <s v="28-05-2025"/>
    <s v="05-06-2025"/>
    <s v="14-06-2025"/>
    <x v="0"/>
    <n v="18000"/>
    <n v="3"/>
    <n v="54000"/>
    <n v="27000"/>
    <x v="1"/>
    <x v="1"/>
    <n v="0"/>
    <x v="1"/>
    <x v="1"/>
    <x v="2"/>
    <n v="2025"/>
    <x v="5"/>
  </r>
  <r>
    <s v="B244"/>
    <s v="Aarav Mishra"/>
    <n v="25"/>
    <x v="0"/>
    <x v="3"/>
    <x v="11"/>
    <s v="15-05-2025"/>
    <s v="13-06-2025"/>
    <s v="17-06-2025"/>
    <x v="3"/>
    <n v="120000"/>
    <n v="1"/>
    <n v="120000"/>
    <n v="78000"/>
    <x v="0"/>
    <x v="4"/>
    <n v="18000"/>
    <x v="4"/>
    <x v="0"/>
    <x v="2"/>
    <n v="2025"/>
    <x v="1"/>
  </r>
  <r>
    <s v="B245"/>
    <s v="Neha Menon"/>
    <n v="32"/>
    <x v="1"/>
    <x v="1"/>
    <x v="4"/>
    <s v="13-02-2025"/>
    <s v="26-02-2025"/>
    <s v="08-03-2025"/>
    <x v="1"/>
    <n v="60000"/>
    <n v="1"/>
    <n v="60000"/>
    <n v="39000"/>
    <x v="1"/>
    <x v="1"/>
    <n v="0"/>
    <x v="1"/>
    <x v="1"/>
    <x v="7"/>
    <n v="2025"/>
    <x v="0"/>
  </r>
  <r>
    <s v="B246"/>
    <s v="Ritika Bose"/>
    <n v="26"/>
    <x v="1"/>
    <x v="2"/>
    <x v="10"/>
    <s v="04-04-2025"/>
    <s v="18-04-2025"/>
    <s v="26-04-2025"/>
    <x v="2"/>
    <n v="80000"/>
    <n v="2"/>
    <n v="160000"/>
    <n v="96000"/>
    <x v="1"/>
    <x v="1"/>
    <n v="0"/>
    <x v="1"/>
    <x v="1"/>
    <x v="4"/>
    <n v="2025"/>
    <x v="1"/>
  </r>
  <r>
    <s v="B247"/>
    <s v="Nikhil Pandey"/>
    <n v="29"/>
    <x v="0"/>
    <x v="1"/>
    <x v="7"/>
    <s v="18-01-2025"/>
    <s v="09-02-2025"/>
    <s v="16-02-2025"/>
    <x v="1"/>
    <n v="60000"/>
    <n v="3"/>
    <n v="180000"/>
    <n v="117000"/>
    <x v="1"/>
    <x v="1"/>
    <n v="0"/>
    <x v="1"/>
    <x v="1"/>
    <x v="1"/>
    <n v="2025"/>
    <x v="1"/>
  </r>
  <r>
    <s v="B248"/>
    <s v="Ramesh Sharma"/>
    <n v="28"/>
    <x v="0"/>
    <x v="2"/>
    <x v="10"/>
    <s v="23-08-2025"/>
    <s v="30-08-2025"/>
    <s v="02-09-2025"/>
    <x v="2"/>
    <n v="80000"/>
    <n v="2"/>
    <n v="160000"/>
    <n v="96000"/>
    <x v="1"/>
    <x v="1"/>
    <n v="0"/>
    <x v="1"/>
    <x v="1"/>
    <x v="5"/>
    <n v="2025"/>
    <x v="1"/>
  </r>
  <r>
    <s v="B249"/>
    <s v="Kabir Bose"/>
    <n v="23"/>
    <x v="0"/>
    <x v="1"/>
    <x v="8"/>
    <s v="05-01-2025"/>
    <s v="14-01-2025"/>
    <s v="19-01-2025"/>
    <x v="1"/>
    <n v="60000"/>
    <n v="2"/>
    <n v="120000"/>
    <n v="78000"/>
    <x v="1"/>
    <x v="1"/>
    <n v="0"/>
    <x v="1"/>
    <x v="1"/>
    <x v="1"/>
    <n v="2025"/>
    <x v="6"/>
  </r>
  <r>
    <s v="B250"/>
    <s v="Sunita Menon"/>
    <n v="25"/>
    <x v="1"/>
    <x v="4"/>
    <x v="2"/>
    <s v="29-07-2025"/>
    <s v="21-08-2025"/>
    <s v="30-08-2025"/>
    <x v="4"/>
    <n v="70000"/>
    <n v="4"/>
    <n v="280000"/>
    <n v="168000"/>
    <x v="0"/>
    <x v="5"/>
    <n v="19600.000000000004"/>
    <x v="10"/>
    <x v="0"/>
    <x v="0"/>
    <n v="2025"/>
    <x v="1"/>
  </r>
  <r>
    <s v="B251"/>
    <s v="Kabir Chowdhury"/>
    <n v="54"/>
    <x v="0"/>
    <x v="1"/>
    <x v="5"/>
    <s v="19-05-2025"/>
    <s v="01-06-2025"/>
    <s v="07-06-2025"/>
    <x v="1"/>
    <n v="60000"/>
    <n v="2"/>
    <n v="120000"/>
    <n v="78000"/>
    <x v="0"/>
    <x v="2"/>
    <n v="12000"/>
    <x v="6"/>
    <x v="0"/>
    <x v="2"/>
    <n v="2025"/>
    <x v="5"/>
  </r>
  <r>
    <s v="B252"/>
    <s v="Priya Chowdhury"/>
    <n v="41"/>
    <x v="1"/>
    <x v="3"/>
    <x v="11"/>
    <s v="30-04-2025"/>
    <s v="30-05-2025"/>
    <s v="09-06-2025"/>
    <x v="3"/>
    <n v="120000"/>
    <n v="1"/>
    <n v="120000"/>
    <n v="78000"/>
    <x v="1"/>
    <x v="1"/>
    <n v="0"/>
    <x v="1"/>
    <x v="1"/>
    <x v="4"/>
    <n v="2025"/>
    <x v="3"/>
  </r>
  <r>
    <s v="B253"/>
    <s v="Pooja Joshi"/>
    <n v="44"/>
    <x v="1"/>
    <x v="1"/>
    <x v="13"/>
    <s v="08-05-2025"/>
    <s v="05-06-2025"/>
    <s v="15-06-2025"/>
    <x v="1"/>
    <n v="60000"/>
    <n v="1"/>
    <n v="60000"/>
    <n v="39000"/>
    <x v="1"/>
    <x v="1"/>
    <n v="0"/>
    <x v="1"/>
    <x v="1"/>
    <x v="2"/>
    <n v="2025"/>
    <x v="3"/>
  </r>
  <r>
    <s v="B254"/>
    <s v="Pooja Sharma"/>
    <n v="26"/>
    <x v="1"/>
    <x v="3"/>
    <x v="9"/>
    <s v="18-01-2025"/>
    <s v="09-02-2025"/>
    <s v="18-02-2025"/>
    <x v="3"/>
    <n v="120000"/>
    <n v="4"/>
    <n v="480000"/>
    <n v="312000"/>
    <x v="0"/>
    <x v="4"/>
    <n v="72000"/>
    <x v="11"/>
    <x v="0"/>
    <x v="1"/>
    <n v="2025"/>
    <x v="1"/>
  </r>
  <r>
    <s v="B255"/>
    <s v="Sunita Nair"/>
    <n v="25"/>
    <x v="1"/>
    <x v="1"/>
    <x v="10"/>
    <s v="31-03-2025"/>
    <s v="10-04-2025"/>
    <s v="13-04-2025"/>
    <x v="1"/>
    <n v="60000"/>
    <n v="2"/>
    <n v="120000"/>
    <n v="78000"/>
    <x v="0"/>
    <x v="2"/>
    <n v="12000"/>
    <x v="6"/>
    <x v="0"/>
    <x v="6"/>
    <n v="2025"/>
    <x v="1"/>
  </r>
  <r>
    <s v="B256"/>
    <s v="Anil Sharma"/>
    <n v="21"/>
    <x v="0"/>
    <x v="4"/>
    <x v="2"/>
    <s v="14-02-2025"/>
    <s v="05-03-2025"/>
    <s v="15-03-2025"/>
    <x v="4"/>
    <n v="70000"/>
    <n v="4"/>
    <n v="280000"/>
    <n v="168000"/>
    <x v="0"/>
    <x v="5"/>
    <n v="19600.000000000004"/>
    <x v="10"/>
    <x v="0"/>
    <x v="7"/>
    <n v="2025"/>
    <x v="6"/>
  </r>
  <r>
    <s v="B257"/>
    <s v="Pooja Mishra"/>
    <n v="37"/>
    <x v="1"/>
    <x v="0"/>
    <x v="0"/>
    <s v="09-03-2025"/>
    <s v="03-04-2025"/>
    <s v="10-04-2025"/>
    <x v="0"/>
    <n v="18000"/>
    <n v="4"/>
    <n v="72000"/>
    <n v="36000"/>
    <x v="0"/>
    <x v="0"/>
    <n v="3600"/>
    <x v="16"/>
    <x v="0"/>
    <x v="6"/>
    <n v="2025"/>
    <x v="7"/>
  </r>
  <r>
    <s v="B258"/>
    <s v="Pooja Bose"/>
    <n v="26"/>
    <x v="1"/>
    <x v="2"/>
    <x v="13"/>
    <s v="24-03-2025"/>
    <s v="11-04-2025"/>
    <s v="20-04-2025"/>
    <x v="2"/>
    <n v="80000"/>
    <n v="2"/>
    <n v="160000"/>
    <n v="96000"/>
    <x v="0"/>
    <x v="3"/>
    <n v="19200"/>
    <x v="3"/>
    <x v="0"/>
    <x v="6"/>
    <n v="2025"/>
    <x v="1"/>
  </r>
  <r>
    <s v="B259"/>
    <s v="Komal Kulkarni"/>
    <n v="58"/>
    <x v="1"/>
    <x v="4"/>
    <x v="2"/>
    <s v="09-06-2025"/>
    <s v="08-07-2025"/>
    <s v="12-07-2025"/>
    <x v="4"/>
    <n v="70000"/>
    <n v="4"/>
    <n v="280000"/>
    <n v="168000"/>
    <x v="1"/>
    <x v="1"/>
    <n v="0"/>
    <x v="1"/>
    <x v="1"/>
    <x v="3"/>
    <n v="2025"/>
    <x v="4"/>
  </r>
  <r>
    <s v="B260"/>
    <s v="Siddharth Patel"/>
    <n v="22"/>
    <x v="0"/>
    <x v="1"/>
    <x v="10"/>
    <s v="26-05-2025"/>
    <s v="05-06-2025"/>
    <s v="14-06-2025"/>
    <x v="1"/>
    <n v="60000"/>
    <n v="1"/>
    <n v="60000"/>
    <n v="39000"/>
    <x v="0"/>
    <x v="2"/>
    <n v="6000"/>
    <x v="15"/>
    <x v="0"/>
    <x v="2"/>
    <n v="2025"/>
    <x v="6"/>
  </r>
  <r>
    <s v="B261"/>
    <s v="Harsh Shetty"/>
    <n v="28"/>
    <x v="0"/>
    <x v="2"/>
    <x v="4"/>
    <s v="19-03-2025"/>
    <s v="29-03-2025"/>
    <s v="02-04-2025"/>
    <x v="2"/>
    <n v="80000"/>
    <n v="2"/>
    <n v="160000"/>
    <n v="96000"/>
    <x v="1"/>
    <x v="1"/>
    <n v="0"/>
    <x v="1"/>
    <x v="1"/>
    <x v="6"/>
    <n v="2025"/>
    <x v="1"/>
  </r>
  <r>
    <s v="B262"/>
    <s v="Pranav Agarwal"/>
    <n v="23"/>
    <x v="0"/>
    <x v="1"/>
    <x v="10"/>
    <s v="08-05-2025"/>
    <s v="14-05-2025"/>
    <s v="19-05-2025"/>
    <x v="1"/>
    <n v="60000"/>
    <n v="1"/>
    <n v="60000"/>
    <n v="39000"/>
    <x v="0"/>
    <x v="2"/>
    <n v="6000"/>
    <x v="15"/>
    <x v="0"/>
    <x v="2"/>
    <n v="2025"/>
    <x v="6"/>
  </r>
  <r>
    <s v="B263"/>
    <s v="Payal Shetty"/>
    <n v="26"/>
    <x v="1"/>
    <x v="2"/>
    <x v="1"/>
    <s v="18-03-2025"/>
    <s v="16-04-2025"/>
    <s v="26-04-2025"/>
    <x v="2"/>
    <n v="80000"/>
    <n v="2"/>
    <n v="160000"/>
    <n v="96000"/>
    <x v="1"/>
    <x v="1"/>
    <n v="0"/>
    <x v="1"/>
    <x v="1"/>
    <x v="6"/>
    <n v="2025"/>
    <x v="1"/>
  </r>
  <r>
    <s v="B264"/>
    <s v="Deepak Shetty"/>
    <n v="42"/>
    <x v="0"/>
    <x v="4"/>
    <x v="13"/>
    <s v="23-02-2025"/>
    <s v="17-03-2025"/>
    <s v="21-03-2025"/>
    <x v="4"/>
    <n v="70000"/>
    <n v="3"/>
    <n v="210000"/>
    <n v="126000"/>
    <x v="0"/>
    <x v="5"/>
    <n v="14700.000000000002"/>
    <x v="13"/>
    <x v="0"/>
    <x v="7"/>
    <n v="2025"/>
    <x v="3"/>
  </r>
  <r>
    <s v="B265"/>
    <s v="Aarav Bose"/>
    <n v="44"/>
    <x v="0"/>
    <x v="4"/>
    <x v="4"/>
    <s v="10-01-2025"/>
    <s v="15-01-2025"/>
    <s v="20-01-2025"/>
    <x v="4"/>
    <n v="70000"/>
    <n v="4"/>
    <n v="280000"/>
    <n v="168000"/>
    <x v="0"/>
    <x v="5"/>
    <n v="19600.000000000004"/>
    <x v="10"/>
    <x v="0"/>
    <x v="1"/>
    <n v="2025"/>
    <x v="3"/>
  </r>
  <r>
    <s v="B266"/>
    <s v="Sameer Kapoor"/>
    <n v="46"/>
    <x v="0"/>
    <x v="0"/>
    <x v="13"/>
    <s v="27-04-2025"/>
    <s v="08-05-2025"/>
    <s v="12-05-2025"/>
    <x v="0"/>
    <n v="18000"/>
    <n v="4"/>
    <n v="72000"/>
    <n v="36000"/>
    <x v="0"/>
    <x v="0"/>
    <n v="3600"/>
    <x v="16"/>
    <x v="0"/>
    <x v="4"/>
    <n v="2025"/>
    <x v="2"/>
  </r>
  <r>
    <s v="B267"/>
    <s v="Komal Khan"/>
    <n v="30"/>
    <x v="1"/>
    <x v="2"/>
    <x v="10"/>
    <s v="12-05-2025"/>
    <s v="18-05-2025"/>
    <s v="27-05-2025"/>
    <x v="2"/>
    <n v="80000"/>
    <n v="2"/>
    <n v="160000"/>
    <n v="96000"/>
    <x v="0"/>
    <x v="3"/>
    <n v="19200"/>
    <x v="3"/>
    <x v="0"/>
    <x v="2"/>
    <n v="2025"/>
    <x v="0"/>
  </r>
  <r>
    <s v="B268"/>
    <s v="Komal Chowdhury"/>
    <n v="40"/>
    <x v="1"/>
    <x v="1"/>
    <x v="13"/>
    <s v="02-07-2025"/>
    <s v="31-07-2025"/>
    <s v="10-08-2025"/>
    <x v="1"/>
    <n v="60000"/>
    <n v="1"/>
    <n v="60000"/>
    <n v="39000"/>
    <x v="1"/>
    <x v="1"/>
    <n v="0"/>
    <x v="1"/>
    <x v="1"/>
    <x v="0"/>
    <n v="2025"/>
    <x v="3"/>
  </r>
  <r>
    <s v="B269"/>
    <s v="Komal Joshi"/>
    <n v="39"/>
    <x v="1"/>
    <x v="1"/>
    <x v="10"/>
    <s v="28-06-2025"/>
    <s v="04-07-2025"/>
    <s v="14-07-2025"/>
    <x v="1"/>
    <n v="60000"/>
    <n v="4"/>
    <n v="240000"/>
    <n v="156000"/>
    <x v="0"/>
    <x v="2"/>
    <n v="24000"/>
    <x v="2"/>
    <x v="0"/>
    <x v="3"/>
    <n v="2025"/>
    <x v="7"/>
  </r>
  <r>
    <s v="B270"/>
    <s v="Rohan Tripathi"/>
    <n v="27"/>
    <x v="0"/>
    <x v="2"/>
    <x v="1"/>
    <s v="20-03-2025"/>
    <s v="30-03-2025"/>
    <s v="07-04-2025"/>
    <x v="2"/>
    <n v="80000"/>
    <n v="2"/>
    <n v="160000"/>
    <n v="96000"/>
    <x v="1"/>
    <x v="1"/>
    <n v="0"/>
    <x v="1"/>
    <x v="1"/>
    <x v="6"/>
    <n v="2025"/>
    <x v="1"/>
  </r>
  <r>
    <s v="B271"/>
    <s v="Rohan Patel"/>
    <n v="33"/>
    <x v="0"/>
    <x v="2"/>
    <x v="13"/>
    <s v="19-08-2025"/>
    <s v="15-09-2025"/>
    <s v="22-09-2025"/>
    <x v="2"/>
    <n v="80000"/>
    <n v="2"/>
    <n v="160000"/>
    <n v="96000"/>
    <x v="0"/>
    <x v="3"/>
    <n v="19200"/>
    <x v="3"/>
    <x v="0"/>
    <x v="5"/>
    <n v="2025"/>
    <x v="0"/>
  </r>
  <r>
    <s v="B272"/>
    <s v="Ritika Chowdhury"/>
    <n v="32"/>
    <x v="1"/>
    <x v="2"/>
    <x v="2"/>
    <s v="15-03-2025"/>
    <s v="21-03-2025"/>
    <s v="24-03-2025"/>
    <x v="2"/>
    <n v="80000"/>
    <n v="2"/>
    <n v="160000"/>
    <n v="96000"/>
    <x v="0"/>
    <x v="3"/>
    <n v="19200"/>
    <x v="3"/>
    <x v="0"/>
    <x v="6"/>
    <n v="2025"/>
    <x v="0"/>
  </r>
  <r>
    <s v="B273"/>
    <s v="Meera Kapoor"/>
    <n v="28"/>
    <x v="1"/>
    <x v="2"/>
    <x v="7"/>
    <s v="17-03-2025"/>
    <s v="09-04-2025"/>
    <s v="13-04-2025"/>
    <x v="2"/>
    <n v="80000"/>
    <n v="2"/>
    <n v="160000"/>
    <n v="96000"/>
    <x v="0"/>
    <x v="3"/>
    <n v="19200"/>
    <x v="3"/>
    <x v="0"/>
    <x v="6"/>
    <n v="2025"/>
    <x v="1"/>
  </r>
  <r>
    <s v="B274"/>
    <s v="Aditya Pandey"/>
    <n v="20"/>
    <x v="0"/>
    <x v="0"/>
    <x v="12"/>
    <s v="28-08-2025"/>
    <s v="18-09-2025"/>
    <s v="23-09-2025"/>
    <x v="0"/>
    <n v="18000"/>
    <n v="1"/>
    <n v="18000"/>
    <n v="9000"/>
    <x v="1"/>
    <x v="1"/>
    <n v="0"/>
    <x v="1"/>
    <x v="1"/>
    <x v="5"/>
    <n v="2025"/>
    <x v="6"/>
  </r>
  <r>
    <s v="B275"/>
    <s v="Ananya Agarwal"/>
    <n v="33"/>
    <x v="1"/>
    <x v="4"/>
    <x v="2"/>
    <s v="26-04-2025"/>
    <s v="05-05-2025"/>
    <s v="15-05-2025"/>
    <x v="4"/>
    <n v="70000"/>
    <n v="3"/>
    <n v="210000"/>
    <n v="126000"/>
    <x v="0"/>
    <x v="5"/>
    <n v="14700.000000000002"/>
    <x v="13"/>
    <x v="0"/>
    <x v="4"/>
    <n v="2025"/>
    <x v="0"/>
  </r>
  <r>
    <s v="B276"/>
    <s v="Aditi Joshi"/>
    <n v="32"/>
    <x v="1"/>
    <x v="3"/>
    <x v="1"/>
    <s v="02-02-2025"/>
    <s v="04-03-2025"/>
    <s v="13-03-2025"/>
    <x v="3"/>
    <n v="120000"/>
    <n v="4"/>
    <n v="480000"/>
    <n v="312000"/>
    <x v="1"/>
    <x v="1"/>
    <n v="0"/>
    <x v="1"/>
    <x v="1"/>
    <x v="7"/>
    <n v="2025"/>
    <x v="0"/>
  </r>
  <r>
    <s v="B277"/>
    <s v="Karan Reddy"/>
    <n v="29"/>
    <x v="0"/>
    <x v="4"/>
    <x v="0"/>
    <s v="11-06-2025"/>
    <s v="24-06-2025"/>
    <s v="04-07-2025"/>
    <x v="4"/>
    <n v="70000"/>
    <n v="1"/>
    <n v="70000"/>
    <n v="42000"/>
    <x v="0"/>
    <x v="5"/>
    <n v="4900.0000000000009"/>
    <x v="9"/>
    <x v="0"/>
    <x v="3"/>
    <n v="2025"/>
    <x v="1"/>
  </r>
  <r>
    <s v="B278"/>
    <s v="Aditi Menon"/>
    <n v="24"/>
    <x v="1"/>
    <x v="2"/>
    <x v="5"/>
    <s v="27-05-2025"/>
    <s v="01-06-2025"/>
    <s v="04-06-2025"/>
    <x v="2"/>
    <n v="80000"/>
    <n v="2"/>
    <n v="160000"/>
    <n v="96000"/>
    <x v="1"/>
    <x v="1"/>
    <n v="0"/>
    <x v="1"/>
    <x v="1"/>
    <x v="2"/>
    <n v="2025"/>
    <x v="6"/>
  </r>
  <r>
    <s v="B279"/>
    <s v="Isha Menon"/>
    <n v="26"/>
    <x v="1"/>
    <x v="4"/>
    <x v="7"/>
    <s v="06-06-2025"/>
    <s v="18-06-2025"/>
    <s v="28-06-2025"/>
    <x v="4"/>
    <n v="70000"/>
    <n v="3"/>
    <n v="210000"/>
    <n v="126000"/>
    <x v="0"/>
    <x v="5"/>
    <n v="14700.000000000002"/>
    <x v="13"/>
    <x v="0"/>
    <x v="3"/>
    <n v="2025"/>
    <x v="1"/>
  </r>
  <r>
    <s v="B280"/>
    <s v="Nisha Reddy"/>
    <n v="60"/>
    <x v="1"/>
    <x v="1"/>
    <x v="4"/>
    <s v="01-05-2025"/>
    <s v="25-05-2025"/>
    <s v="28-05-2025"/>
    <x v="1"/>
    <n v="60000"/>
    <n v="1"/>
    <n v="60000"/>
    <n v="39000"/>
    <x v="1"/>
    <x v="1"/>
    <n v="0"/>
    <x v="1"/>
    <x v="1"/>
    <x v="2"/>
    <n v="2025"/>
    <x v="9"/>
  </r>
  <r>
    <s v="B281"/>
    <s v="Aditya Kulkarni"/>
    <n v="30"/>
    <x v="0"/>
    <x v="2"/>
    <x v="10"/>
    <s v="07-07-2025"/>
    <s v="05-08-2025"/>
    <s v="12-08-2025"/>
    <x v="2"/>
    <n v="80000"/>
    <n v="2"/>
    <n v="160000"/>
    <n v="96000"/>
    <x v="1"/>
    <x v="1"/>
    <n v="0"/>
    <x v="1"/>
    <x v="1"/>
    <x v="0"/>
    <n v="2025"/>
    <x v="0"/>
  </r>
  <r>
    <s v="B282"/>
    <s v="Sunita Joshi"/>
    <n v="25"/>
    <x v="1"/>
    <x v="2"/>
    <x v="8"/>
    <s v="22-02-2025"/>
    <s v="14-03-2025"/>
    <s v="19-03-2025"/>
    <x v="2"/>
    <n v="80000"/>
    <n v="2"/>
    <n v="160000"/>
    <n v="96000"/>
    <x v="1"/>
    <x v="1"/>
    <n v="0"/>
    <x v="1"/>
    <x v="1"/>
    <x v="7"/>
    <n v="2025"/>
    <x v="1"/>
  </r>
  <r>
    <s v="B283"/>
    <s v="Vikas Joshi"/>
    <n v="29"/>
    <x v="0"/>
    <x v="2"/>
    <x v="8"/>
    <s v="14-03-2025"/>
    <s v="27-03-2025"/>
    <s v="04-04-2025"/>
    <x v="2"/>
    <n v="80000"/>
    <n v="2"/>
    <n v="160000"/>
    <n v="96000"/>
    <x v="0"/>
    <x v="3"/>
    <n v="19200"/>
    <x v="3"/>
    <x v="0"/>
    <x v="6"/>
    <n v="2025"/>
    <x v="1"/>
  </r>
  <r>
    <s v="B284"/>
    <s v="Meera Mishra"/>
    <n v="56"/>
    <x v="1"/>
    <x v="3"/>
    <x v="7"/>
    <s v="17-02-2025"/>
    <s v="16-03-2025"/>
    <s v="20-03-2025"/>
    <x v="3"/>
    <n v="120000"/>
    <n v="3"/>
    <n v="360000"/>
    <n v="234000"/>
    <x v="0"/>
    <x v="4"/>
    <n v="54000"/>
    <x v="17"/>
    <x v="0"/>
    <x v="7"/>
    <n v="2025"/>
    <x v="4"/>
  </r>
  <r>
    <s v="B285"/>
    <s v="Vivaan Nair"/>
    <n v="51"/>
    <x v="0"/>
    <x v="0"/>
    <x v="17"/>
    <s v="16-08-2025"/>
    <s v="01-09-2025"/>
    <s v="09-09-2025"/>
    <x v="0"/>
    <n v="18000"/>
    <n v="2"/>
    <n v="36000"/>
    <n v="18000"/>
    <x v="1"/>
    <x v="1"/>
    <n v="0"/>
    <x v="1"/>
    <x v="1"/>
    <x v="5"/>
    <n v="2025"/>
    <x v="5"/>
  </r>
  <r>
    <s v="B286"/>
    <s v="Sunita Agarwal"/>
    <n v="25"/>
    <x v="1"/>
    <x v="1"/>
    <x v="11"/>
    <s v="25-08-2025"/>
    <s v="22-09-2025"/>
    <s v="28-09-2025"/>
    <x v="1"/>
    <n v="60000"/>
    <n v="2"/>
    <n v="120000"/>
    <n v="78000"/>
    <x v="1"/>
    <x v="1"/>
    <n v="0"/>
    <x v="1"/>
    <x v="1"/>
    <x v="5"/>
    <n v="2025"/>
    <x v="1"/>
  </r>
  <r>
    <s v="B287"/>
    <s v="Harsh Chowdhury"/>
    <n v="30"/>
    <x v="0"/>
    <x v="2"/>
    <x v="13"/>
    <s v="12-08-2025"/>
    <s v="22-08-2025"/>
    <s v="26-08-2025"/>
    <x v="2"/>
    <n v="80000"/>
    <n v="4"/>
    <n v="320000"/>
    <n v="192000"/>
    <x v="0"/>
    <x v="3"/>
    <n v="38400"/>
    <x v="18"/>
    <x v="0"/>
    <x v="5"/>
    <n v="2025"/>
    <x v="0"/>
  </r>
  <r>
    <s v="B288"/>
    <s v="Siddharth Shetty"/>
    <n v="55"/>
    <x v="0"/>
    <x v="4"/>
    <x v="11"/>
    <s v="10-04-2025"/>
    <s v="02-05-2025"/>
    <s v="07-05-2025"/>
    <x v="4"/>
    <n v="70000"/>
    <n v="2"/>
    <n v="140000"/>
    <n v="84000"/>
    <x v="0"/>
    <x v="5"/>
    <n v="9800.0000000000018"/>
    <x v="7"/>
    <x v="0"/>
    <x v="4"/>
    <n v="2025"/>
    <x v="4"/>
  </r>
  <r>
    <s v="B289"/>
    <s v="Kavya Mishra"/>
    <n v="39"/>
    <x v="1"/>
    <x v="1"/>
    <x v="13"/>
    <s v="23-07-2025"/>
    <s v="30-07-2025"/>
    <s v="08-08-2025"/>
    <x v="1"/>
    <n v="60000"/>
    <n v="2"/>
    <n v="120000"/>
    <n v="78000"/>
    <x v="1"/>
    <x v="1"/>
    <n v="0"/>
    <x v="1"/>
    <x v="1"/>
    <x v="0"/>
    <n v="2025"/>
    <x v="7"/>
  </r>
  <r>
    <s v="B290"/>
    <s v="Krishna Patel"/>
    <n v="52"/>
    <x v="0"/>
    <x v="3"/>
    <x v="2"/>
    <s v="08-07-2025"/>
    <s v="15-07-2025"/>
    <s v="22-07-2025"/>
    <x v="3"/>
    <n v="120000"/>
    <n v="3"/>
    <n v="360000"/>
    <n v="234000"/>
    <x v="1"/>
    <x v="1"/>
    <n v="0"/>
    <x v="1"/>
    <x v="1"/>
    <x v="0"/>
    <n v="2025"/>
    <x v="5"/>
  </r>
  <r>
    <s v="B291"/>
    <s v="Ramesh Iyer"/>
    <n v="49"/>
    <x v="0"/>
    <x v="4"/>
    <x v="10"/>
    <s v="25-03-2025"/>
    <s v="14-04-2025"/>
    <s v="20-04-2025"/>
    <x v="4"/>
    <n v="70000"/>
    <n v="4"/>
    <n v="280000"/>
    <n v="168000"/>
    <x v="0"/>
    <x v="5"/>
    <n v="19600.000000000004"/>
    <x v="10"/>
    <x v="0"/>
    <x v="6"/>
    <n v="2025"/>
    <x v="2"/>
  </r>
  <r>
    <s v="B292"/>
    <s v="Vikas Gupta"/>
    <n v="40"/>
    <x v="0"/>
    <x v="3"/>
    <x v="10"/>
    <s v="07-03-2025"/>
    <s v="28-03-2025"/>
    <s v="07-04-2025"/>
    <x v="3"/>
    <n v="120000"/>
    <n v="2"/>
    <n v="240000"/>
    <n v="156000"/>
    <x v="1"/>
    <x v="1"/>
    <n v="0"/>
    <x v="1"/>
    <x v="1"/>
    <x v="6"/>
    <n v="2025"/>
    <x v="3"/>
  </r>
  <r>
    <s v="B293"/>
    <s v="Swati Khan"/>
    <n v="48"/>
    <x v="1"/>
    <x v="3"/>
    <x v="7"/>
    <s v="08-06-2025"/>
    <s v="22-06-2025"/>
    <s v="27-06-2025"/>
    <x v="3"/>
    <n v="120000"/>
    <n v="4"/>
    <n v="480000"/>
    <n v="312000"/>
    <x v="0"/>
    <x v="4"/>
    <n v="72000"/>
    <x v="11"/>
    <x v="0"/>
    <x v="3"/>
    <n v="2025"/>
    <x v="2"/>
  </r>
  <r>
    <s v="B294"/>
    <s v="Krishna Joshi"/>
    <n v="43"/>
    <x v="0"/>
    <x v="1"/>
    <x v="2"/>
    <s v="10-08-2025"/>
    <s v="09-09-2025"/>
    <s v="17-09-2025"/>
    <x v="1"/>
    <n v="60000"/>
    <n v="3"/>
    <n v="180000"/>
    <n v="117000"/>
    <x v="1"/>
    <x v="1"/>
    <n v="0"/>
    <x v="1"/>
    <x v="1"/>
    <x v="5"/>
    <n v="2025"/>
    <x v="3"/>
  </r>
  <r>
    <s v="B295"/>
    <s v="Kabir Iyer"/>
    <n v="44"/>
    <x v="0"/>
    <x v="0"/>
    <x v="15"/>
    <s v="24-05-2025"/>
    <s v="04-06-2025"/>
    <s v="13-06-2025"/>
    <x v="0"/>
    <n v="18000"/>
    <n v="1"/>
    <n v="18000"/>
    <n v="9000"/>
    <x v="1"/>
    <x v="1"/>
    <n v="0"/>
    <x v="1"/>
    <x v="1"/>
    <x v="2"/>
    <n v="2025"/>
    <x v="3"/>
  </r>
  <r>
    <s v="B296"/>
    <s v="Anil Khan"/>
    <n v="46"/>
    <x v="0"/>
    <x v="4"/>
    <x v="1"/>
    <s v="27-08-2025"/>
    <s v="09-09-2025"/>
    <s v="14-09-2025"/>
    <x v="4"/>
    <n v="70000"/>
    <n v="1"/>
    <n v="70000"/>
    <n v="42000"/>
    <x v="0"/>
    <x v="5"/>
    <n v="4900.0000000000009"/>
    <x v="9"/>
    <x v="0"/>
    <x v="5"/>
    <n v="2025"/>
    <x v="2"/>
  </r>
  <r>
    <s v="B297"/>
    <s v="Arjun Mishra"/>
    <n v="27"/>
    <x v="0"/>
    <x v="2"/>
    <x v="2"/>
    <s v="14-01-2025"/>
    <s v="06-02-2025"/>
    <s v="14-02-2025"/>
    <x v="2"/>
    <n v="80000"/>
    <n v="4"/>
    <n v="320000"/>
    <n v="192000"/>
    <x v="0"/>
    <x v="3"/>
    <n v="38400"/>
    <x v="18"/>
    <x v="0"/>
    <x v="1"/>
    <n v="2025"/>
    <x v="1"/>
  </r>
  <r>
    <s v="B298"/>
    <s v="Deepak Khan"/>
    <n v="40"/>
    <x v="0"/>
    <x v="4"/>
    <x v="7"/>
    <s v="18-02-2025"/>
    <s v="10-03-2025"/>
    <s v="15-03-2025"/>
    <x v="4"/>
    <n v="70000"/>
    <n v="4"/>
    <n v="280000"/>
    <n v="168000"/>
    <x v="0"/>
    <x v="5"/>
    <n v="19600.000000000004"/>
    <x v="10"/>
    <x v="0"/>
    <x v="7"/>
    <n v="2025"/>
    <x v="3"/>
  </r>
  <r>
    <s v="B299"/>
    <s v="Vivaan Shetty"/>
    <n v="57"/>
    <x v="0"/>
    <x v="3"/>
    <x v="9"/>
    <s v="13-05-2025"/>
    <s v="03-06-2025"/>
    <s v="07-06-2025"/>
    <x v="3"/>
    <n v="120000"/>
    <n v="1"/>
    <n v="120000"/>
    <n v="78000"/>
    <x v="0"/>
    <x v="4"/>
    <n v="18000"/>
    <x v="4"/>
    <x v="0"/>
    <x v="2"/>
    <n v="2025"/>
    <x v="4"/>
  </r>
  <r>
    <s v="B300"/>
    <s v="Vikas Tripathi"/>
    <n v="29"/>
    <x v="0"/>
    <x v="2"/>
    <x v="8"/>
    <s v="23-07-2025"/>
    <s v="17-08-2025"/>
    <s v="26-08-2025"/>
    <x v="2"/>
    <n v="80000"/>
    <n v="2"/>
    <n v="160000"/>
    <n v="96000"/>
    <x v="1"/>
    <x v="1"/>
    <n v="0"/>
    <x v="1"/>
    <x v="1"/>
    <x v="0"/>
    <n v="2025"/>
    <x v="1"/>
  </r>
  <r>
    <s v="B301"/>
    <s v="Kavya Patel"/>
    <n v="23"/>
    <x v="1"/>
    <x v="2"/>
    <x v="8"/>
    <s v="06-08-2025"/>
    <s v="29-08-2025"/>
    <s v="07-09-2025"/>
    <x v="2"/>
    <n v="80000"/>
    <n v="2"/>
    <n v="160000"/>
    <n v="96000"/>
    <x v="1"/>
    <x v="1"/>
    <n v="0"/>
    <x v="1"/>
    <x v="1"/>
    <x v="5"/>
    <n v="2025"/>
    <x v="6"/>
  </r>
  <r>
    <s v="B302"/>
    <s v="Shreya Kulkarni"/>
    <n v="44"/>
    <x v="1"/>
    <x v="3"/>
    <x v="3"/>
    <s v="19-03-2025"/>
    <s v="14-04-2025"/>
    <s v="20-04-2025"/>
    <x v="3"/>
    <n v="120000"/>
    <n v="2"/>
    <n v="240000"/>
    <n v="156000"/>
    <x v="0"/>
    <x v="4"/>
    <n v="36000"/>
    <x v="8"/>
    <x v="0"/>
    <x v="6"/>
    <n v="2025"/>
    <x v="3"/>
  </r>
  <r>
    <s v="B303"/>
    <s v="Swati Kulkarni"/>
    <n v="33"/>
    <x v="1"/>
    <x v="3"/>
    <x v="1"/>
    <s v="20-08-2025"/>
    <s v="03-09-2025"/>
    <s v="08-09-2025"/>
    <x v="3"/>
    <n v="120000"/>
    <n v="1"/>
    <n v="120000"/>
    <n v="78000"/>
    <x v="1"/>
    <x v="1"/>
    <n v="0"/>
    <x v="1"/>
    <x v="1"/>
    <x v="5"/>
    <n v="2025"/>
    <x v="0"/>
  </r>
  <r>
    <s v="B304"/>
    <s v="Suresh Agarwal"/>
    <n v="27"/>
    <x v="0"/>
    <x v="1"/>
    <x v="10"/>
    <s v="07-02-2025"/>
    <s v="04-03-2025"/>
    <s v="13-03-2025"/>
    <x v="1"/>
    <n v="60000"/>
    <n v="3"/>
    <n v="180000"/>
    <n v="117000"/>
    <x v="1"/>
    <x v="1"/>
    <n v="0"/>
    <x v="1"/>
    <x v="1"/>
    <x v="7"/>
    <n v="2025"/>
    <x v="1"/>
  </r>
  <r>
    <s v="B305"/>
    <s v="Bhavna Khan"/>
    <n v="60"/>
    <x v="1"/>
    <x v="1"/>
    <x v="7"/>
    <s v="23-01-2025"/>
    <s v="07-02-2025"/>
    <s v="17-02-2025"/>
    <x v="1"/>
    <n v="60000"/>
    <n v="4"/>
    <n v="240000"/>
    <n v="156000"/>
    <x v="1"/>
    <x v="1"/>
    <n v="0"/>
    <x v="1"/>
    <x v="1"/>
    <x v="1"/>
    <n v="2025"/>
    <x v="9"/>
  </r>
  <r>
    <s v="B306"/>
    <s v="Aditi Agarwal"/>
    <n v="58"/>
    <x v="1"/>
    <x v="3"/>
    <x v="7"/>
    <s v="02-01-2025"/>
    <s v="09-01-2025"/>
    <s v="17-01-2025"/>
    <x v="3"/>
    <n v="120000"/>
    <n v="1"/>
    <n v="120000"/>
    <n v="78000"/>
    <x v="0"/>
    <x v="4"/>
    <n v="18000"/>
    <x v="4"/>
    <x v="0"/>
    <x v="1"/>
    <n v="2025"/>
    <x v="4"/>
  </r>
  <r>
    <s v="B307"/>
    <s v="Ramesh Khan"/>
    <n v="34"/>
    <x v="0"/>
    <x v="0"/>
    <x v="13"/>
    <s v="28-03-2025"/>
    <s v="14-04-2025"/>
    <s v="24-04-2025"/>
    <x v="0"/>
    <n v="18000"/>
    <n v="3"/>
    <n v="54000"/>
    <n v="27000"/>
    <x v="0"/>
    <x v="0"/>
    <n v="2700"/>
    <x v="5"/>
    <x v="0"/>
    <x v="6"/>
    <n v="2025"/>
    <x v="0"/>
  </r>
  <r>
    <s v="B308"/>
    <s v="Vivaan Jain"/>
    <n v="28"/>
    <x v="0"/>
    <x v="1"/>
    <x v="10"/>
    <s v="08-04-2025"/>
    <s v="24-04-2025"/>
    <s v="29-04-2025"/>
    <x v="1"/>
    <n v="60000"/>
    <n v="4"/>
    <n v="240000"/>
    <n v="156000"/>
    <x v="1"/>
    <x v="1"/>
    <n v="0"/>
    <x v="1"/>
    <x v="1"/>
    <x v="4"/>
    <n v="2025"/>
    <x v="1"/>
  </r>
  <r>
    <s v="B309"/>
    <s v="Komal Pandey"/>
    <n v="42"/>
    <x v="1"/>
    <x v="0"/>
    <x v="5"/>
    <s v="27-01-2025"/>
    <s v="26-02-2025"/>
    <s v="08-03-2025"/>
    <x v="0"/>
    <n v="18000"/>
    <n v="1"/>
    <n v="18000"/>
    <n v="9000"/>
    <x v="0"/>
    <x v="0"/>
    <n v="900"/>
    <x v="0"/>
    <x v="0"/>
    <x v="1"/>
    <n v="2025"/>
    <x v="3"/>
  </r>
  <r>
    <s v="B310"/>
    <s v="Diya Sharma"/>
    <n v="24"/>
    <x v="1"/>
    <x v="4"/>
    <x v="0"/>
    <s v="20-03-2025"/>
    <s v="05-04-2025"/>
    <s v="14-04-2025"/>
    <x v="4"/>
    <n v="70000"/>
    <n v="4"/>
    <n v="280000"/>
    <n v="168000"/>
    <x v="0"/>
    <x v="5"/>
    <n v="19600.000000000004"/>
    <x v="10"/>
    <x v="0"/>
    <x v="6"/>
    <n v="2025"/>
    <x v="6"/>
  </r>
  <r>
    <s v="B311"/>
    <s v="Harsh Sharma"/>
    <n v="43"/>
    <x v="0"/>
    <x v="0"/>
    <x v="12"/>
    <s v="03-07-2025"/>
    <s v="11-07-2025"/>
    <s v="15-07-2025"/>
    <x v="0"/>
    <n v="18000"/>
    <n v="3"/>
    <n v="54000"/>
    <n v="27000"/>
    <x v="0"/>
    <x v="0"/>
    <n v="2700"/>
    <x v="5"/>
    <x v="0"/>
    <x v="0"/>
    <n v="2025"/>
    <x v="3"/>
  </r>
  <r>
    <s v="B312"/>
    <s v="Shreya Shetty"/>
    <n v="28"/>
    <x v="1"/>
    <x v="2"/>
    <x v="2"/>
    <s v="01-03-2025"/>
    <s v="31-03-2025"/>
    <s v="03-04-2025"/>
    <x v="2"/>
    <n v="80000"/>
    <n v="2"/>
    <n v="160000"/>
    <n v="96000"/>
    <x v="0"/>
    <x v="3"/>
    <n v="19200"/>
    <x v="3"/>
    <x v="0"/>
    <x v="6"/>
    <n v="2025"/>
    <x v="1"/>
  </r>
  <r>
    <s v="B313"/>
    <s v="Kabir Jain"/>
    <n v="58"/>
    <x v="0"/>
    <x v="3"/>
    <x v="2"/>
    <s v="25-07-2025"/>
    <s v="23-08-2025"/>
    <s v="27-08-2025"/>
    <x v="3"/>
    <n v="120000"/>
    <n v="4"/>
    <n v="480000"/>
    <n v="312000"/>
    <x v="1"/>
    <x v="1"/>
    <n v="0"/>
    <x v="1"/>
    <x v="1"/>
    <x v="0"/>
    <n v="2025"/>
    <x v="4"/>
  </r>
  <r>
    <s v="B314"/>
    <s v="Nikhil Chowdhury"/>
    <n v="45"/>
    <x v="0"/>
    <x v="3"/>
    <x v="2"/>
    <s v="04-04-2025"/>
    <s v="12-04-2025"/>
    <s v="18-04-2025"/>
    <x v="3"/>
    <n v="120000"/>
    <n v="2"/>
    <n v="240000"/>
    <n v="156000"/>
    <x v="1"/>
    <x v="1"/>
    <n v="0"/>
    <x v="1"/>
    <x v="1"/>
    <x v="4"/>
    <n v="2025"/>
    <x v="2"/>
  </r>
  <r>
    <s v="B315"/>
    <s v="Sunita Bose"/>
    <n v="26"/>
    <x v="1"/>
    <x v="2"/>
    <x v="8"/>
    <s v="14-01-2025"/>
    <s v="08-02-2025"/>
    <s v="14-02-2025"/>
    <x v="2"/>
    <n v="80000"/>
    <n v="2"/>
    <n v="160000"/>
    <n v="96000"/>
    <x v="0"/>
    <x v="3"/>
    <n v="19200"/>
    <x v="3"/>
    <x v="0"/>
    <x v="1"/>
    <n v="2025"/>
    <x v="1"/>
  </r>
  <r>
    <s v="B316"/>
    <s v="Krishna Nair"/>
    <n v="22"/>
    <x v="0"/>
    <x v="1"/>
    <x v="2"/>
    <s v="10-03-2025"/>
    <s v="19-03-2025"/>
    <s v="23-03-2025"/>
    <x v="1"/>
    <n v="60000"/>
    <n v="1"/>
    <n v="60000"/>
    <n v="39000"/>
    <x v="0"/>
    <x v="2"/>
    <n v="6000"/>
    <x v="15"/>
    <x v="0"/>
    <x v="6"/>
    <n v="2025"/>
    <x v="6"/>
  </r>
  <r>
    <s v="B317"/>
    <s v="Deepak Joshi"/>
    <n v="52"/>
    <x v="0"/>
    <x v="0"/>
    <x v="13"/>
    <s v="22-02-2025"/>
    <s v="19-03-2025"/>
    <s v="26-03-2025"/>
    <x v="0"/>
    <n v="18000"/>
    <n v="3"/>
    <n v="54000"/>
    <n v="27000"/>
    <x v="1"/>
    <x v="1"/>
    <n v="0"/>
    <x v="1"/>
    <x v="1"/>
    <x v="7"/>
    <n v="2025"/>
    <x v="5"/>
  </r>
  <r>
    <s v="B318"/>
    <s v="Anil Das"/>
    <n v="56"/>
    <x v="0"/>
    <x v="1"/>
    <x v="11"/>
    <s v="16-04-2025"/>
    <s v="25-04-2025"/>
    <s v="28-04-2025"/>
    <x v="1"/>
    <n v="60000"/>
    <n v="2"/>
    <n v="120000"/>
    <n v="78000"/>
    <x v="1"/>
    <x v="1"/>
    <n v="0"/>
    <x v="1"/>
    <x v="1"/>
    <x v="4"/>
    <n v="2025"/>
    <x v="4"/>
  </r>
  <r>
    <s v="B319"/>
    <s v="Sneha Mishra"/>
    <n v="44"/>
    <x v="1"/>
    <x v="3"/>
    <x v="7"/>
    <s v="25-04-2025"/>
    <s v="20-05-2025"/>
    <s v="24-05-2025"/>
    <x v="3"/>
    <n v="120000"/>
    <n v="4"/>
    <n v="480000"/>
    <n v="312000"/>
    <x v="1"/>
    <x v="1"/>
    <n v="0"/>
    <x v="1"/>
    <x v="1"/>
    <x v="4"/>
    <n v="2025"/>
    <x v="3"/>
  </r>
  <r>
    <s v="B320"/>
    <s v="Neha Chowdhury"/>
    <n v="45"/>
    <x v="1"/>
    <x v="3"/>
    <x v="11"/>
    <s v="24-01-2025"/>
    <s v="19-02-2025"/>
    <s v="22-02-2025"/>
    <x v="3"/>
    <n v="120000"/>
    <n v="2"/>
    <n v="240000"/>
    <n v="156000"/>
    <x v="1"/>
    <x v="1"/>
    <n v="0"/>
    <x v="1"/>
    <x v="1"/>
    <x v="1"/>
    <n v="2025"/>
    <x v="2"/>
  </r>
  <r>
    <s v="B321"/>
    <s v="Aarav Joshi"/>
    <n v="39"/>
    <x v="0"/>
    <x v="4"/>
    <x v="5"/>
    <s v="17-05-2025"/>
    <s v="15-06-2025"/>
    <s v="22-06-2025"/>
    <x v="4"/>
    <n v="70000"/>
    <n v="3"/>
    <n v="210000"/>
    <n v="126000"/>
    <x v="0"/>
    <x v="5"/>
    <n v="14700.000000000002"/>
    <x v="13"/>
    <x v="0"/>
    <x v="2"/>
    <n v="2025"/>
    <x v="7"/>
  </r>
  <r>
    <s v="B322"/>
    <s v="Isha Bose"/>
    <n v="33"/>
    <x v="1"/>
    <x v="3"/>
    <x v="3"/>
    <s v="27-04-2025"/>
    <s v="09-05-2025"/>
    <s v="15-05-2025"/>
    <x v="3"/>
    <n v="120000"/>
    <n v="2"/>
    <n v="240000"/>
    <n v="156000"/>
    <x v="1"/>
    <x v="1"/>
    <n v="0"/>
    <x v="1"/>
    <x v="1"/>
    <x v="4"/>
    <n v="2025"/>
    <x v="0"/>
  </r>
  <r>
    <s v="B323"/>
    <s v="Komal Iyer"/>
    <n v="34"/>
    <x v="1"/>
    <x v="4"/>
    <x v="1"/>
    <s v="23-08-2025"/>
    <s v="20-09-2025"/>
    <s v="30-09-2025"/>
    <x v="4"/>
    <n v="70000"/>
    <n v="2"/>
    <n v="140000"/>
    <n v="84000"/>
    <x v="1"/>
    <x v="1"/>
    <n v="0"/>
    <x v="1"/>
    <x v="1"/>
    <x v="5"/>
    <n v="2025"/>
    <x v="0"/>
  </r>
  <r>
    <s v="B324"/>
    <s v="Kavya Pandey"/>
    <n v="41"/>
    <x v="1"/>
    <x v="4"/>
    <x v="2"/>
    <s v="14-03-2025"/>
    <s v="07-04-2025"/>
    <s v="10-04-2025"/>
    <x v="4"/>
    <n v="70000"/>
    <n v="3"/>
    <n v="210000"/>
    <n v="126000"/>
    <x v="0"/>
    <x v="5"/>
    <n v="14700.000000000002"/>
    <x v="13"/>
    <x v="0"/>
    <x v="6"/>
    <n v="2025"/>
    <x v="3"/>
  </r>
  <r>
    <s v="B325"/>
    <s v="Manish Shetty"/>
    <n v="60"/>
    <x v="0"/>
    <x v="3"/>
    <x v="9"/>
    <s v="26-01-2025"/>
    <s v="09-02-2025"/>
    <s v="14-02-2025"/>
    <x v="3"/>
    <n v="120000"/>
    <n v="2"/>
    <n v="240000"/>
    <n v="156000"/>
    <x v="0"/>
    <x v="4"/>
    <n v="36000"/>
    <x v="8"/>
    <x v="0"/>
    <x v="1"/>
    <n v="2025"/>
    <x v="9"/>
  </r>
  <r>
    <s v="B326"/>
    <s v="Priya Menon"/>
    <n v="31"/>
    <x v="1"/>
    <x v="1"/>
    <x v="8"/>
    <s v="24-03-2025"/>
    <s v="14-04-2025"/>
    <s v="17-04-2025"/>
    <x v="1"/>
    <n v="60000"/>
    <n v="2"/>
    <n v="120000"/>
    <n v="78000"/>
    <x v="1"/>
    <x v="1"/>
    <n v="0"/>
    <x v="1"/>
    <x v="1"/>
    <x v="6"/>
    <n v="2025"/>
    <x v="0"/>
  </r>
  <r>
    <s v="B327"/>
    <s v="Arjun Iyer"/>
    <n v="34"/>
    <x v="0"/>
    <x v="4"/>
    <x v="5"/>
    <s v="19-07-2025"/>
    <s v="14-08-2025"/>
    <s v="19-08-2025"/>
    <x v="4"/>
    <n v="70000"/>
    <n v="1"/>
    <n v="70000"/>
    <n v="42000"/>
    <x v="1"/>
    <x v="1"/>
    <n v="0"/>
    <x v="1"/>
    <x v="1"/>
    <x v="0"/>
    <n v="2025"/>
    <x v="0"/>
  </r>
  <r>
    <s v="B328"/>
    <s v="Aarav Kapoor"/>
    <n v="50"/>
    <x v="0"/>
    <x v="4"/>
    <x v="4"/>
    <s v="14-08-2025"/>
    <s v="29-08-2025"/>
    <s v="06-09-2025"/>
    <x v="4"/>
    <n v="70000"/>
    <n v="4"/>
    <n v="280000"/>
    <n v="168000"/>
    <x v="1"/>
    <x v="1"/>
    <n v="0"/>
    <x v="1"/>
    <x v="1"/>
    <x v="5"/>
    <n v="2025"/>
    <x v="5"/>
  </r>
  <r>
    <s v="B329"/>
    <s v="Nikhil Das"/>
    <n v="46"/>
    <x v="0"/>
    <x v="4"/>
    <x v="0"/>
    <s v="19-05-2025"/>
    <s v="26-05-2025"/>
    <s v="02-06-2025"/>
    <x v="4"/>
    <n v="70000"/>
    <n v="2"/>
    <n v="140000"/>
    <n v="84000"/>
    <x v="0"/>
    <x v="5"/>
    <n v="9800.0000000000018"/>
    <x v="7"/>
    <x v="0"/>
    <x v="2"/>
    <n v="2025"/>
    <x v="2"/>
  </r>
  <r>
    <s v="B330"/>
    <s v="Neha Reddy"/>
    <n v="43"/>
    <x v="1"/>
    <x v="0"/>
    <x v="0"/>
    <s v="02-01-2025"/>
    <s v="18-01-2025"/>
    <s v="27-01-2025"/>
    <x v="0"/>
    <n v="18000"/>
    <n v="4"/>
    <n v="72000"/>
    <n v="36000"/>
    <x v="0"/>
    <x v="0"/>
    <n v="3600"/>
    <x v="16"/>
    <x v="0"/>
    <x v="1"/>
    <n v="2025"/>
    <x v="3"/>
  </r>
  <r>
    <s v="B331"/>
    <s v="Sameer Das"/>
    <n v="51"/>
    <x v="0"/>
    <x v="3"/>
    <x v="10"/>
    <s v="09-02-2025"/>
    <s v="10-03-2025"/>
    <s v="15-03-2025"/>
    <x v="3"/>
    <n v="120000"/>
    <n v="4"/>
    <n v="480000"/>
    <n v="312000"/>
    <x v="0"/>
    <x v="4"/>
    <n v="72000"/>
    <x v="11"/>
    <x v="0"/>
    <x v="7"/>
    <n v="2025"/>
    <x v="5"/>
  </r>
  <r>
    <s v="B332"/>
    <s v="Rahul Reddy"/>
    <n v="51"/>
    <x v="0"/>
    <x v="3"/>
    <x v="1"/>
    <s v="19-06-2025"/>
    <s v="15-07-2025"/>
    <s v="25-07-2025"/>
    <x v="3"/>
    <n v="120000"/>
    <n v="4"/>
    <n v="480000"/>
    <n v="312000"/>
    <x v="0"/>
    <x v="4"/>
    <n v="72000"/>
    <x v="11"/>
    <x v="0"/>
    <x v="3"/>
    <n v="2025"/>
    <x v="5"/>
  </r>
  <r>
    <s v="B333"/>
    <s v="Bhavna Reddy"/>
    <n v="50"/>
    <x v="1"/>
    <x v="3"/>
    <x v="7"/>
    <s v="06-08-2025"/>
    <s v="28-08-2025"/>
    <s v="02-09-2025"/>
    <x v="3"/>
    <n v="120000"/>
    <n v="1"/>
    <n v="120000"/>
    <n v="78000"/>
    <x v="0"/>
    <x v="4"/>
    <n v="18000"/>
    <x v="4"/>
    <x v="0"/>
    <x v="5"/>
    <n v="2025"/>
    <x v="5"/>
  </r>
  <r>
    <s v="B334"/>
    <s v="Krishna Das"/>
    <n v="26"/>
    <x v="0"/>
    <x v="2"/>
    <x v="0"/>
    <s v="30-05-2025"/>
    <s v="16-06-2025"/>
    <s v="19-06-2025"/>
    <x v="2"/>
    <n v="80000"/>
    <n v="2"/>
    <n v="160000"/>
    <n v="96000"/>
    <x v="1"/>
    <x v="1"/>
    <n v="0"/>
    <x v="1"/>
    <x v="1"/>
    <x v="2"/>
    <n v="2025"/>
    <x v="1"/>
  </r>
  <r>
    <s v="B335"/>
    <s v="Ananya Pandey"/>
    <n v="27"/>
    <x v="1"/>
    <x v="2"/>
    <x v="7"/>
    <s v="12-08-2025"/>
    <s v="06-09-2025"/>
    <s v="11-09-2025"/>
    <x v="2"/>
    <n v="80000"/>
    <n v="2"/>
    <n v="160000"/>
    <n v="96000"/>
    <x v="1"/>
    <x v="1"/>
    <n v="0"/>
    <x v="1"/>
    <x v="1"/>
    <x v="5"/>
    <n v="2025"/>
    <x v="1"/>
  </r>
  <r>
    <s v="B336"/>
    <s v="Payal Tripathi"/>
    <n v="55"/>
    <x v="1"/>
    <x v="3"/>
    <x v="3"/>
    <s v="27-01-2025"/>
    <s v="18-02-2025"/>
    <s v="22-02-2025"/>
    <x v="3"/>
    <n v="120000"/>
    <n v="2"/>
    <n v="240000"/>
    <n v="156000"/>
    <x v="1"/>
    <x v="1"/>
    <n v="0"/>
    <x v="1"/>
    <x v="1"/>
    <x v="1"/>
    <n v="2025"/>
    <x v="4"/>
  </r>
  <r>
    <s v="B337"/>
    <s v="Sneha Das"/>
    <n v="37"/>
    <x v="1"/>
    <x v="1"/>
    <x v="7"/>
    <s v="27-07-2025"/>
    <s v="26-08-2025"/>
    <s v="30-08-2025"/>
    <x v="1"/>
    <n v="60000"/>
    <n v="3"/>
    <n v="180000"/>
    <n v="117000"/>
    <x v="0"/>
    <x v="2"/>
    <n v="18000"/>
    <x v="12"/>
    <x v="0"/>
    <x v="0"/>
    <n v="2025"/>
    <x v="7"/>
  </r>
  <r>
    <s v="B338"/>
    <s v="Krishna Kapoor"/>
    <n v="53"/>
    <x v="0"/>
    <x v="1"/>
    <x v="0"/>
    <s v="07-02-2025"/>
    <s v="08-03-2025"/>
    <s v="12-03-2025"/>
    <x v="1"/>
    <n v="60000"/>
    <n v="2"/>
    <n v="120000"/>
    <n v="78000"/>
    <x v="0"/>
    <x v="2"/>
    <n v="12000"/>
    <x v="6"/>
    <x v="0"/>
    <x v="7"/>
    <n v="2025"/>
    <x v="5"/>
  </r>
  <r>
    <s v="B339"/>
    <s v="Ritika Shetty"/>
    <n v="37"/>
    <x v="1"/>
    <x v="0"/>
    <x v="15"/>
    <s v="04-06-2025"/>
    <s v="17-06-2025"/>
    <s v="25-06-2025"/>
    <x v="0"/>
    <n v="18000"/>
    <n v="1"/>
    <n v="18000"/>
    <n v="9000"/>
    <x v="1"/>
    <x v="1"/>
    <n v="0"/>
    <x v="1"/>
    <x v="1"/>
    <x v="3"/>
    <n v="2025"/>
    <x v="7"/>
  </r>
  <r>
    <s v="B340"/>
    <s v="Priya Khan"/>
    <n v="26"/>
    <x v="1"/>
    <x v="2"/>
    <x v="13"/>
    <s v="10-05-2025"/>
    <s v="21-05-2025"/>
    <s v="24-05-2025"/>
    <x v="2"/>
    <n v="80000"/>
    <n v="2"/>
    <n v="160000"/>
    <n v="96000"/>
    <x v="0"/>
    <x v="3"/>
    <n v="19200"/>
    <x v="3"/>
    <x v="0"/>
    <x v="2"/>
    <n v="2025"/>
    <x v="1"/>
  </r>
  <r>
    <s v="B341"/>
    <s v="Aditya Shetty"/>
    <n v="38"/>
    <x v="0"/>
    <x v="3"/>
    <x v="10"/>
    <s v="07-04-2025"/>
    <s v="17-04-2025"/>
    <s v="21-04-2025"/>
    <x v="3"/>
    <n v="120000"/>
    <n v="3"/>
    <n v="360000"/>
    <n v="234000"/>
    <x v="1"/>
    <x v="1"/>
    <n v="0"/>
    <x v="1"/>
    <x v="1"/>
    <x v="4"/>
    <n v="2025"/>
    <x v="7"/>
  </r>
  <r>
    <s v="B342"/>
    <s v="Pranav Sharma"/>
    <n v="47"/>
    <x v="0"/>
    <x v="1"/>
    <x v="13"/>
    <s v="15-07-2025"/>
    <s v="30-07-2025"/>
    <s v="04-08-2025"/>
    <x v="1"/>
    <n v="60000"/>
    <n v="3"/>
    <n v="180000"/>
    <n v="117000"/>
    <x v="1"/>
    <x v="1"/>
    <n v="0"/>
    <x v="1"/>
    <x v="1"/>
    <x v="0"/>
    <n v="2025"/>
    <x v="2"/>
  </r>
  <r>
    <s v="B343"/>
    <s v="Bhavna Patel"/>
    <n v="40"/>
    <x v="1"/>
    <x v="1"/>
    <x v="4"/>
    <s v="11-06-2025"/>
    <s v="11-07-2025"/>
    <s v="18-07-2025"/>
    <x v="1"/>
    <n v="60000"/>
    <n v="4"/>
    <n v="240000"/>
    <n v="156000"/>
    <x v="0"/>
    <x v="2"/>
    <n v="24000"/>
    <x v="2"/>
    <x v="0"/>
    <x v="3"/>
    <n v="2025"/>
    <x v="3"/>
  </r>
  <r>
    <s v="B344"/>
    <s v="Priya Sharma"/>
    <n v="37"/>
    <x v="1"/>
    <x v="0"/>
    <x v="4"/>
    <s v="14-01-2025"/>
    <s v="22-01-2025"/>
    <s v="26-01-2025"/>
    <x v="0"/>
    <n v="18000"/>
    <n v="3"/>
    <n v="54000"/>
    <n v="27000"/>
    <x v="0"/>
    <x v="0"/>
    <n v="2700"/>
    <x v="5"/>
    <x v="0"/>
    <x v="1"/>
    <n v="2025"/>
    <x v="7"/>
  </r>
  <r>
    <s v="B345"/>
    <s v="Diya Nair"/>
    <n v="42"/>
    <x v="1"/>
    <x v="3"/>
    <x v="7"/>
    <s v="15-08-2025"/>
    <s v="03-09-2025"/>
    <s v="10-09-2025"/>
    <x v="3"/>
    <n v="120000"/>
    <n v="2"/>
    <n v="240000"/>
    <n v="156000"/>
    <x v="1"/>
    <x v="1"/>
    <n v="0"/>
    <x v="1"/>
    <x v="1"/>
    <x v="5"/>
    <n v="2025"/>
    <x v="3"/>
  </r>
  <r>
    <s v="B346"/>
    <s v="Swati Shetty"/>
    <n v="18"/>
    <x v="1"/>
    <x v="3"/>
    <x v="9"/>
    <s v="11-06-2025"/>
    <s v="02-07-2025"/>
    <s v="06-07-2025"/>
    <x v="3"/>
    <n v="120000"/>
    <n v="3"/>
    <n v="360000"/>
    <n v="234000"/>
    <x v="0"/>
    <x v="4"/>
    <n v="54000"/>
    <x v="17"/>
    <x v="0"/>
    <x v="3"/>
    <n v="2025"/>
    <x v="8"/>
  </r>
  <r>
    <s v="B347"/>
    <s v="Meera Menon"/>
    <n v="27"/>
    <x v="1"/>
    <x v="2"/>
    <x v="7"/>
    <s v="05-04-2025"/>
    <s v="22-04-2025"/>
    <s v="02-05-2025"/>
    <x v="2"/>
    <n v="80000"/>
    <n v="2"/>
    <n v="160000"/>
    <n v="96000"/>
    <x v="1"/>
    <x v="1"/>
    <n v="0"/>
    <x v="1"/>
    <x v="1"/>
    <x v="4"/>
    <n v="2025"/>
    <x v="1"/>
  </r>
  <r>
    <s v="B348"/>
    <s v="Sunita Jain"/>
    <n v="30"/>
    <x v="1"/>
    <x v="3"/>
    <x v="7"/>
    <s v="18-03-2025"/>
    <s v="24-03-2025"/>
    <s v="02-04-2025"/>
    <x v="3"/>
    <n v="120000"/>
    <n v="1"/>
    <n v="120000"/>
    <n v="78000"/>
    <x v="1"/>
    <x v="1"/>
    <n v="0"/>
    <x v="1"/>
    <x v="1"/>
    <x v="6"/>
    <n v="2025"/>
    <x v="0"/>
  </r>
  <r>
    <s v="B349"/>
    <s v="Vivaan Khan"/>
    <n v="49"/>
    <x v="0"/>
    <x v="3"/>
    <x v="3"/>
    <s v="05-07-2025"/>
    <s v="22-07-2025"/>
    <s v="29-07-2025"/>
    <x v="3"/>
    <n v="120000"/>
    <n v="3"/>
    <n v="360000"/>
    <n v="234000"/>
    <x v="0"/>
    <x v="4"/>
    <n v="54000"/>
    <x v="17"/>
    <x v="0"/>
    <x v="0"/>
    <n v="2025"/>
    <x v="2"/>
  </r>
  <r>
    <s v="B350"/>
    <s v="Ananya Kapoor"/>
    <n v="40"/>
    <x v="1"/>
    <x v="1"/>
    <x v="5"/>
    <s v="13-04-2025"/>
    <s v="24-04-2025"/>
    <s v="01-05-2025"/>
    <x v="1"/>
    <n v="60000"/>
    <n v="2"/>
    <n v="120000"/>
    <n v="78000"/>
    <x v="0"/>
    <x v="2"/>
    <n v="12000"/>
    <x v="6"/>
    <x v="0"/>
    <x v="4"/>
    <n v="2025"/>
    <x v="3"/>
  </r>
  <r>
    <s v="B351"/>
    <s v="Ritika Sharma"/>
    <n v="57"/>
    <x v="1"/>
    <x v="0"/>
    <x v="18"/>
    <s v="12-06-2025"/>
    <s v="30-06-2025"/>
    <s v="08-07-2025"/>
    <x v="0"/>
    <n v="18000"/>
    <n v="2"/>
    <n v="36000"/>
    <n v="18000"/>
    <x v="1"/>
    <x v="1"/>
    <n v="0"/>
    <x v="1"/>
    <x v="1"/>
    <x v="3"/>
    <n v="2025"/>
    <x v="4"/>
  </r>
  <r>
    <s v="B352"/>
    <s v="Deepak Iyer"/>
    <n v="28"/>
    <x v="0"/>
    <x v="2"/>
    <x v="1"/>
    <s v="30-01-2025"/>
    <s v="06-02-2025"/>
    <s v="11-02-2025"/>
    <x v="2"/>
    <n v="80000"/>
    <n v="2"/>
    <n v="160000"/>
    <n v="96000"/>
    <x v="1"/>
    <x v="1"/>
    <n v="0"/>
    <x v="1"/>
    <x v="1"/>
    <x v="1"/>
    <n v="2025"/>
    <x v="1"/>
  </r>
  <r>
    <s v="B353"/>
    <s v="Karan Bose"/>
    <n v="30"/>
    <x v="0"/>
    <x v="2"/>
    <x v="5"/>
    <s v="19-08-2025"/>
    <s v="17-09-2025"/>
    <s v="25-09-2025"/>
    <x v="2"/>
    <n v="80000"/>
    <n v="2"/>
    <n v="160000"/>
    <n v="96000"/>
    <x v="1"/>
    <x v="1"/>
    <n v="0"/>
    <x v="1"/>
    <x v="1"/>
    <x v="5"/>
    <n v="2025"/>
    <x v="0"/>
  </r>
  <r>
    <s v="B354"/>
    <s v="Sneha Bose"/>
    <n v="20"/>
    <x v="1"/>
    <x v="1"/>
    <x v="8"/>
    <s v="06-03-2025"/>
    <s v="22-03-2025"/>
    <s v="31-03-2025"/>
    <x v="1"/>
    <n v="60000"/>
    <n v="3"/>
    <n v="180000"/>
    <n v="117000"/>
    <x v="1"/>
    <x v="1"/>
    <n v="0"/>
    <x v="1"/>
    <x v="1"/>
    <x v="6"/>
    <n v="2025"/>
    <x v="6"/>
  </r>
  <r>
    <s v="B355"/>
    <s v="Kavya Nair"/>
    <n v="32"/>
    <x v="1"/>
    <x v="2"/>
    <x v="0"/>
    <s v="16-03-2025"/>
    <s v="11-04-2025"/>
    <s v="18-04-2025"/>
    <x v="2"/>
    <n v="80000"/>
    <n v="4"/>
    <n v="320000"/>
    <n v="192000"/>
    <x v="1"/>
    <x v="1"/>
    <n v="0"/>
    <x v="1"/>
    <x v="1"/>
    <x v="6"/>
    <n v="2025"/>
    <x v="0"/>
  </r>
  <r>
    <s v="B356"/>
    <s v="Manish Nair"/>
    <n v="43"/>
    <x v="0"/>
    <x v="4"/>
    <x v="13"/>
    <s v="14-02-2025"/>
    <s v="19-02-2025"/>
    <s v="28-02-2025"/>
    <x v="4"/>
    <n v="70000"/>
    <n v="3"/>
    <n v="210000"/>
    <n v="126000"/>
    <x v="1"/>
    <x v="1"/>
    <n v="0"/>
    <x v="1"/>
    <x v="1"/>
    <x v="7"/>
    <n v="2025"/>
    <x v="3"/>
  </r>
  <r>
    <s v="B357"/>
    <s v="Rahul Menon"/>
    <n v="21"/>
    <x v="0"/>
    <x v="4"/>
    <x v="11"/>
    <s v="15-05-2025"/>
    <s v="27-05-2025"/>
    <s v="05-06-2025"/>
    <x v="4"/>
    <n v="70000"/>
    <n v="1"/>
    <n v="70000"/>
    <n v="42000"/>
    <x v="0"/>
    <x v="5"/>
    <n v="4900.0000000000009"/>
    <x v="9"/>
    <x v="0"/>
    <x v="2"/>
    <n v="2025"/>
    <x v="6"/>
  </r>
  <r>
    <s v="B358"/>
    <s v="Krishna Jain"/>
    <n v="54"/>
    <x v="0"/>
    <x v="1"/>
    <x v="7"/>
    <s v="21-06-2025"/>
    <s v="11-07-2025"/>
    <s v="18-07-2025"/>
    <x v="1"/>
    <n v="60000"/>
    <n v="2"/>
    <n v="120000"/>
    <n v="78000"/>
    <x v="1"/>
    <x v="1"/>
    <n v="0"/>
    <x v="1"/>
    <x v="1"/>
    <x v="3"/>
    <n v="2025"/>
    <x v="5"/>
  </r>
  <r>
    <s v="B359"/>
    <s v="Anil Nair"/>
    <n v="29"/>
    <x v="0"/>
    <x v="0"/>
    <x v="18"/>
    <s v="14-01-2025"/>
    <s v="23-01-2025"/>
    <s v="02-02-2025"/>
    <x v="0"/>
    <n v="18000"/>
    <n v="2"/>
    <n v="36000"/>
    <n v="18000"/>
    <x v="0"/>
    <x v="0"/>
    <n v="1800"/>
    <x v="14"/>
    <x v="0"/>
    <x v="1"/>
    <n v="2025"/>
    <x v="1"/>
  </r>
  <r>
    <s v="B360"/>
    <s v="Pooja Nair"/>
    <n v="24"/>
    <x v="1"/>
    <x v="3"/>
    <x v="10"/>
    <s v="10-05-2025"/>
    <s v="18-05-2025"/>
    <s v="23-05-2025"/>
    <x v="3"/>
    <n v="120000"/>
    <n v="4"/>
    <n v="480000"/>
    <n v="312000"/>
    <x v="0"/>
    <x v="4"/>
    <n v="72000"/>
    <x v="11"/>
    <x v="0"/>
    <x v="2"/>
    <n v="2025"/>
    <x v="6"/>
  </r>
  <r>
    <s v="B361"/>
    <s v="Vikas Iyer"/>
    <n v="36"/>
    <x v="0"/>
    <x v="0"/>
    <x v="5"/>
    <s v="30-05-2025"/>
    <s v="11-06-2025"/>
    <s v="17-06-2025"/>
    <x v="0"/>
    <n v="18000"/>
    <n v="2"/>
    <n v="36000"/>
    <n v="18000"/>
    <x v="1"/>
    <x v="1"/>
    <n v="0"/>
    <x v="1"/>
    <x v="1"/>
    <x v="2"/>
    <n v="2025"/>
    <x v="7"/>
  </r>
  <r>
    <s v="B362"/>
    <s v="Karan Iyer"/>
    <n v="36"/>
    <x v="0"/>
    <x v="1"/>
    <x v="13"/>
    <s v="31-07-2025"/>
    <s v="18-08-2025"/>
    <s v="27-08-2025"/>
    <x v="1"/>
    <n v="60000"/>
    <n v="4"/>
    <n v="240000"/>
    <n v="156000"/>
    <x v="0"/>
    <x v="2"/>
    <n v="24000"/>
    <x v="2"/>
    <x v="0"/>
    <x v="0"/>
    <n v="2025"/>
    <x v="7"/>
  </r>
  <r>
    <s v="B363"/>
    <s v="Sneha Pandey"/>
    <n v="30"/>
    <x v="1"/>
    <x v="3"/>
    <x v="11"/>
    <s v="29-04-2025"/>
    <s v="25-05-2025"/>
    <s v="03-06-2025"/>
    <x v="3"/>
    <n v="120000"/>
    <n v="4"/>
    <n v="480000"/>
    <n v="312000"/>
    <x v="0"/>
    <x v="4"/>
    <n v="72000"/>
    <x v="11"/>
    <x v="0"/>
    <x v="4"/>
    <n v="2025"/>
    <x v="0"/>
  </r>
  <r>
    <s v="B364"/>
    <s v="Pranav Bose"/>
    <n v="52"/>
    <x v="0"/>
    <x v="3"/>
    <x v="8"/>
    <s v="30-01-2025"/>
    <s v="22-02-2025"/>
    <s v="04-03-2025"/>
    <x v="3"/>
    <n v="120000"/>
    <n v="2"/>
    <n v="240000"/>
    <n v="156000"/>
    <x v="0"/>
    <x v="4"/>
    <n v="36000"/>
    <x v="8"/>
    <x v="0"/>
    <x v="1"/>
    <n v="2025"/>
    <x v="5"/>
  </r>
  <r>
    <s v="B365"/>
    <s v="Sunita Shetty"/>
    <n v="42"/>
    <x v="1"/>
    <x v="3"/>
    <x v="9"/>
    <s v="28-04-2025"/>
    <s v="12-05-2025"/>
    <s v="18-05-2025"/>
    <x v="3"/>
    <n v="120000"/>
    <n v="4"/>
    <n v="480000"/>
    <n v="312000"/>
    <x v="1"/>
    <x v="1"/>
    <n v="0"/>
    <x v="1"/>
    <x v="1"/>
    <x v="4"/>
    <n v="2025"/>
    <x v="3"/>
  </r>
  <r>
    <s v="B366"/>
    <s v="Manish Mishra"/>
    <n v="39"/>
    <x v="0"/>
    <x v="1"/>
    <x v="1"/>
    <s v="21-07-2025"/>
    <s v="04-08-2025"/>
    <s v="07-08-2025"/>
    <x v="1"/>
    <n v="60000"/>
    <n v="4"/>
    <n v="240000"/>
    <n v="156000"/>
    <x v="1"/>
    <x v="1"/>
    <n v="0"/>
    <x v="1"/>
    <x v="1"/>
    <x v="0"/>
    <n v="2025"/>
    <x v="7"/>
  </r>
  <r>
    <s v="B367"/>
    <s v="Isha Jain"/>
    <n v="28"/>
    <x v="1"/>
    <x v="1"/>
    <x v="8"/>
    <s v="04-03-2025"/>
    <s v="03-04-2025"/>
    <s v="12-04-2025"/>
    <x v="1"/>
    <n v="60000"/>
    <n v="2"/>
    <n v="120000"/>
    <n v="78000"/>
    <x v="1"/>
    <x v="1"/>
    <n v="0"/>
    <x v="1"/>
    <x v="1"/>
    <x v="6"/>
    <n v="2025"/>
    <x v="1"/>
  </r>
  <r>
    <s v="B368"/>
    <s v="Siddharth Bose"/>
    <n v="29"/>
    <x v="0"/>
    <x v="4"/>
    <x v="5"/>
    <s v="09-05-2025"/>
    <s v="28-05-2025"/>
    <s v="01-06-2025"/>
    <x v="4"/>
    <n v="70000"/>
    <n v="2"/>
    <n v="140000"/>
    <n v="84000"/>
    <x v="0"/>
    <x v="5"/>
    <n v="9800.0000000000018"/>
    <x v="7"/>
    <x v="0"/>
    <x v="2"/>
    <n v="2025"/>
    <x v="1"/>
  </r>
  <r>
    <s v="B369"/>
    <s v="Pooja Shetty"/>
    <n v="31"/>
    <x v="1"/>
    <x v="1"/>
    <x v="2"/>
    <s v="12-01-2025"/>
    <s v="08-02-2025"/>
    <s v="16-02-2025"/>
    <x v="1"/>
    <n v="60000"/>
    <n v="2"/>
    <n v="120000"/>
    <n v="78000"/>
    <x v="1"/>
    <x v="1"/>
    <n v="0"/>
    <x v="1"/>
    <x v="1"/>
    <x v="1"/>
    <n v="2025"/>
    <x v="0"/>
  </r>
  <r>
    <s v="B370"/>
    <s v="Sameer Reddy"/>
    <n v="18"/>
    <x v="0"/>
    <x v="0"/>
    <x v="17"/>
    <s v="29-04-2025"/>
    <s v="15-05-2025"/>
    <s v="23-05-2025"/>
    <x v="0"/>
    <n v="18000"/>
    <n v="4"/>
    <n v="72000"/>
    <n v="36000"/>
    <x v="1"/>
    <x v="1"/>
    <n v="0"/>
    <x v="1"/>
    <x v="1"/>
    <x v="4"/>
    <n v="2025"/>
    <x v="8"/>
  </r>
  <r>
    <s v="B371"/>
    <s v="Aditya Reddy"/>
    <n v="26"/>
    <x v="0"/>
    <x v="2"/>
    <x v="0"/>
    <s v="03-04-2025"/>
    <s v="24-04-2025"/>
    <s v="30-04-2025"/>
    <x v="2"/>
    <n v="80000"/>
    <n v="2"/>
    <n v="160000"/>
    <n v="96000"/>
    <x v="0"/>
    <x v="3"/>
    <n v="19200"/>
    <x v="3"/>
    <x v="0"/>
    <x v="4"/>
    <n v="2025"/>
    <x v="1"/>
  </r>
  <r>
    <s v="B372"/>
    <s v="Aditi Shetty"/>
    <n v="59"/>
    <x v="1"/>
    <x v="0"/>
    <x v="0"/>
    <s v="27-06-2025"/>
    <s v="10-07-2025"/>
    <s v="18-07-2025"/>
    <x v="0"/>
    <n v="18000"/>
    <n v="3"/>
    <n v="54000"/>
    <n v="27000"/>
    <x v="0"/>
    <x v="0"/>
    <n v="2700"/>
    <x v="5"/>
    <x v="0"/>
    <x v="3"/>
    <n v="2025"/>
    <x v="4"/>
  </r>
  <r>
    <s v="B373"/>
    <s v="Rohan Sharma"/>
    <n v="20"/>
    <x v="0"/>
    <x v="1"/>
    <x v="1"/>
    <s v="01-02-2025"/>
    <s v="07-02-2025"/>
    <s v="15-02-2025"/>
    <x v="1"/>
    <n v="60000"/>
    <n v="2"/>
    <n v="120000"/>
    <n v="78000"/>
    <x v="1"/>
    <x v="1"/>
    <n v="0"/>
    <x v="1"/>
    <x v="1"/>
    <x v="7"/>
    <n v="2025"/>
    <x v="6"/>
  </r>
  <r>
    <s v="B374"/>
    <s v="Pooja Chowdhury"/>
    <n v="33"/>
    <x v="1"/>
    <x v="3"/>
    <x v="8"/>
    <s v="20-08-2025"/>
    <s v="18-09-2025"/>
    <s v="21-09-2025"/>
    <x v="3"/>
    <n v="120000"/>
    <n v="1"/>
    <n v="120000"/>
    <n v="78000"/>
    <x v="0"/>
    <x v="4"/>
    <n v="18000"/>
    <x v="4"/>
    <x v="0"/>
    <x v="5"/>
    <n v="2025"/>
    <x v="0"/>
  </r>
  <r>
    <s v="B375"/>
    <s v="Isha Patel"/>
    <n v="29"/>
    <x v="1"/>
    <x v="0"/>
    <x v="16"/>
    <s v="18-08-2025"/>
    <s v="23-08-2025"/>
    <s v="01-09-2025"/>
    <x v="0"/>
    <n v="18000"/>
    <n v="1"/>
    <n v="18000"/>
    <n v="9000"/>
    <x v="0"/>
    <x v="0"/>
    <n v="900"/>
    <x v="0"/>
    <x v="0"/>
    <x v="5"/>
    <n v="2025"/>
    <x v="1"/>
  </r>
  <r>
    <s v="B376"/>
    <s v="Ramesh Mishra"/>
    <n v="36"/>
    <x v="0"/>
    <x v="3"/>
    <x v="8"/>
    <s v="28-07-2025"/>
    <s v="16-08-2025"/>
    <s v="20-08-2025"/>
    <x v="3"/>
    <n v="120000"/>
    <n v="4"/>
    <n v="480000"/>
    <n v="312000"/>
    <x v="0"/>
    <x v="4"/>
    <n v="72000"/>
    <x v="11"/>
    <x v="0"/>
    <x v="0"/>
    <n v="2025"/>
    <x v="7"/>
  </r>
  <r>
    <s v="B377"/>
    <s v="Ramesh Chowdhury"/>
    <n v="34"/>
    <x v="0"/>
    <x v="2"/>
    <x v="5"/>
    <s v="10-03-2025"/>
    <s v="29-03-2025"/>
    <s v="05-04-2025"/>
    <x v="2"/>
    <n v="80000"/>
    <n v="2"/>
    <n v="160000"/>
    <n v="96000"/>
    <x v="0"/>
    <x v="3"/>
    <n v="19200"/>
    <x v="3"/>
    <x v="0"/>
    <x v="6"/>
    <n v="2025"/>
    <x v="0"/>
  </r>
  <r>
    <s v="B378"/>
    <s v="Sneha Tripathi"/>
    <n v="29"/>
    <x v="1"/>
    <x v="2"/>
    <x v="13"/>
    <s v="10-02-2025"/>
    <s v="28-02-2025"/>
    <s v="06-03-2025"/>
    <x v="2"/>
    <n v="80000"/>
    <n v="2"/>
    <n v="160000"/>
    <n v="96000"/>
    <x v="0"/>
    <x v="3"/>
    <n v="19200"/>
    <x v="3"/>
    <x v="0"/>
    <x v="7"/>
    <n v="2025"/>
    <x v="1"/>
  </r>
  <r>
    <s v="B379"/>
    <s v="Komal Kapoor"/>
    <n v="50"/>
    <x v="1"/>
    <x v="3"/>
    <x v="11"/>
    <s v="20-06-2025"/>
    <s v="03-07-2025"/>
    <s v="11-07-2025"/>
    <x v="3"/>
    <n v="120000"/>
    <n v="3"/>
    <n v="360000"/>
    <n v="234000"/>
    <x v="0"/>
    <x v="4"/>
    <n v="54000"/>
    <x v="17"/>
    <x v="0"/>
    <x v="3"/>
    <n v="2025"/>
    <x v="5"/>
  </r>
  <r>
    <s v="B380"/>
    <s v="Meera Pandey"/>
    <n v="47"/>
    <x v="1"/>
    <x v="3"/>
    <x v="9"/>
    <s v="02-06-2025"/>
    <s v="19-06-2025"/>
    <s v="27-06-2025"/>
    <x v="3"/>
    <n v="120000"/>
    <n v="3"/>
    <n v="360000"/>
    <n v="234000"/>
    <x v="1"/>
    <x v="1"/>
    <n v="0"/>
    <x v="1"/>
    <x v="1"/>
    <x v="3"/>
    <n v="2025"/>
    <x v="2"/>
  </r>
  <r>
    <s v="B381"/>
    <s v="Pranav Jain"/>
    <n v="26"/>
    <x v="0"/>
    <x v="4"/>
    <x v="11"/>
    <s v="19-08-2025"/>
    <s v="30-08-2025"/>
    <s v="07-09-2025"/>
    <x v="4"/>
    <n v="70000"/>
    <n v="1"/>
    <n v="70000"/>
    <n v="42000"/>
    <x v="0"/>
    <x v="5"/>
    <n v="4900.0000000000009"/>
    <x v="9"/>
    <x v="0"/>
    <x v="5"/>
    <n v="2025"/>
    <x v="1"/>
  </r>
  <r>
    <s v="B382"/>
    <s v="Sneha Reddy"/>
    <n v="25"/>
    <x v="1"/>
    <x v="2"/>
    <x v="1"/>
    <s v="21-03-2025"/>
    <s v="13-04-2025"/>
    <s v="18-04-2025"/>
    <x v="2"/>
    <n v="80000"/>
    <n v="2"/>
    <n v="160000"/>
    <n v="96000"/>
    <x v="0"/>
    <x v="3"/>
    <n v="19200"/>
    <x v="3"/>
    <x v="0"/>
    <x v="6"/>
    <n v="2025"/>
    <x v="1"/>
  </r>
  <r>
    <s v="B383"/>
    <s v="Arjun Tripathi"/>
    <n v="30"/>
    <x v="0"/>
    <x v="2"/>
    <x v="5"/>
    <s v="19-02-2025"/>
    <s v="14-03-2025"/>
    <s v="22-03-2025"/>
    <x v="2"/>
    <n v="80000"/>
    <n v="2"/>
    <n v="160000"/>
    <n v="96000"/>
    <x v="0"/>
    <x v="3"/>
    <n v="19200"/>
    <x v="3"/>
    <x v="0"/>
    <x v="7"/>
    <n v="2025"/>
    <x v="0"/>
  </r>
  <r>
    <s v="B384"/>
    <s v="Aarav Chowdhury"/>
    <n v="26"/>
    <x v="0"/>
    <x v="4"/>
    <x v="5"/>
    <s v="22-02-2025"/>
    <s v="17-03-2025"/>
    <s v="23-03-2025"/>
    <x v="4"/>
    <n v="70000"/>
    <n v="4"/>
    <n v="280000"/>
    <n v="168000"/>
    <x v="1"/>
    <x v="1"/>
    <n v="0"/>
    <x v="1"/>
    <x v="1"/>
    <x v="7"/>
    <n v="2025"/>
    <x v="1"/>
  </r>
  <r>
    <s v="B385"/>
    <s v="Aarohi Tripathi"/>
    <n v="21"/>
    <x v="1"/>
    <x v="4"/>
    <x v="10"/>
    <s v="09-08-2025"/>
    <s v="26-08-2025"/>
    <s v="02-09-2025"/>
    <x v="4"/>
    <n v="70000"/>
    <n v="2"/>
    <n v="140000"/>
    <n v="84000"/>
    <x v="0"/>
    <x v="5"/>
    <n v="9800.0000000000018"/>
    <x v="7"/>
    <x v="0"/>
    <x v="5"/>
    <n v="2025"/>
    <x v="6"/>
  </r>
  <r>
    <s v="B386"/>
    <s v="Ritika Khan"/>
    <n v="38"/>
    <x v="1"/>
    <x v="1"/>
    <x v="2"/>
    <s v="18-04-2025"/>
    <s v="04-05-2025"/>
    <s v="07-05-2025"/>
    <x v="1"/>
    <n v="60000"/>
    <n v="4"/>
    <n v="240000"/>
    <n v="156000"/>
    <x v="0"/>
    <x v="2"/>
    <n v="24000"/>
    <x v="2"/>
    <x v="0"/>
    <x v="4"/>
    <n v="2025"/>
    <x v="7"/>
  </r>
  <r>
    <s v="B387"/>
    <s v="Neha Agarwal"/>
    <n v="22"/>
    <x v="1"/>
    <x v="0"/>
    <x v="17"/>
    <s v="16-01-2025"/>
    <s v="02-02-2025"/>
    <s v="07-02-2025"/>
    <x v="0"/>
    <n v="18000"/>
    <n v="3"/>
    <n v="54000"/>
    <n v="27000"/>
    <x v="0"/>
    <x v="0"/>
    <n v="2700"/>
    <x v="5"/>
    <x v="0"/>
    <x v="1"/>
    <n v="2025"/>
    <x v="6"/>
  </r>
  <r>
    <s v="B388"/>
    <s v="Aarav Pandey"/>
    <n v="31"/>
    <x v="0"/>
    <x v="2"/>
    <x v="13"/>
    <s v="05-05-2025"/>
    <s v="24-05-2025"/>
    <s v="28-05-2025"/>
    <x v="2"/>
    <n v="80000"/>
    <n v="2"/>
    <n v="160000"/>
    <n v="96000"/>
    <x v="1"/>
    <x v="1"/>
    <n v="0"/>
    <x v="1"/>
    <x v="1"/>
    <x v="2"/>
    <n v="2025"/>
    <x v="0"/>
  </r>
  <r>
    <s v="B389"/>
    <s v="Diya Kapoor"/>
    <n v="52"/>
    <x v="1"/>
    <x v="0"/>
    <x v="13"/>
    <s v="06-07-2025"/>
    <s v="16-07-2025"/>
    <s v="20-07-2025"/>
    <x v="0"/>
    <n v="18000"/>
    <n v="2"/>
    <n v="36000"/>
    <n v="18000"/>
    <x v="1"/>
    <x v="1"/>
    <n v="0"/>
    <x v="1"/>
    <x v="1"/>
    <x v="0"/>
    <n v="2025"/>
    <x v="5"/>
  </r>
  <r>
    <s v="B390"/>
    <s v="Aditya Das"/>
    <n v="22"/>
    <x v="0"/>
    <x v="3"/>
    <x v="8"/>
    <s v="11-07-2025"/>
    <s v="03-08-2025"/>
    <s v="07-08-2025"/>
    <x v="3"/>
    <n v="120000"/>
    <n v="3"/>
    <n v="360000"/>
    <n v="234000"/>
    <x v="0"/>
    <x v="4"/>
    <n v="54000"/>
    <x v="17"/>
    <x v="0"/>
    <x v="0"/>
    <n v="2025"/>
    <x v="6"/>
  </r>
  <r>
    <s v="B391"/>
    <s v="Pranav Mishra"/>
    <n v="25"/>
    <x v="0"/>
    <x v="2"/>
    <x v="8"/>
    <s v="12-07-2025"/>
    <s v="05-08-2025"/>
    <s v="12-08-2025"/>
    <x v="2"/>
    <n v="80000"/>
    <n v="2"/>
    <n v="160000"/>
    <n v="96000"/>
    <x v="0"/>
    <x v="3"/>
    <n v="19200"/>
    <x v="3"/>
    <x v="0"/>
    <x v="0"/>
    <n v="2025"/>
    <x v="1"/>
  </r>
  <r>
    <s v="B392"/>
    <s v="Sameer Kulkarni"/>
    <n v="41"/>
    <x v="0"/>
    <x v="3"/>
    <x v="3"/>
    <s v="30-05-2025"/>
    <s v="27-06-2025"/>
    <s v="05-07-2025"/>
    <x v="3"/>
    <n v="120000"/>
    <n v="1"/>
    <n v="120000"/>
    <n v="78000"/>
    <x v="0"/>
    <x v="4"/>
    <n v="18000"/>
    <x v="4"/>
    <x v="0"/>
    <x v="2"/>
    <n v="2025"/>
    <x v="3"/>
  </r>
  <r>
    <s v="B393"/>
    <s v="Sunita Mishra"/>
    <n v="28"/>
    <x v="1"/>
    <x v="2"/>
    <x v="5"/>
    <s v="25-06-2025"/>
    <s v="10-07-2025"/>
    <s v="17-07-2025"/>
    <x v="2"/>
    <n v="80000"/>
    <n v="2"/>
    <n v="160000"/>
    <n v="96000"/>
    <x v="1"/>
    <x v="1"/>
    <n v="0"/>
    <x v="1"/>
    <x v="1"/>
    <x v="3"/>
    <n v="2025"/>
    <x v="1"/>
  </r>
  <r>
    <s v="B394"/>
    <s v="Rohan Iyer"/>
    <n v="28"/>
    <x v="0"/>
    <x v="0"/>
    <x v="16"/>
    <s v="08-07-2025"/>
    <s v="27-07-2025"/>
    <s v="03-08-2025"/>
    <x v="0"/>
    <n v="18000"/>
    <n v="3"/>
    <n v="54000"/>
    <n v="27000"/>
    <x v="0"/>
    <x v="0"/>
    <n v="2700"/>
    <x v="5"/>
    <x v="0"/>
    <x v="0"/>
    <n v="2025"/>
    <x v="1"/>
  </r>
  <r>
    <s v="B395"/>
    <s v="Sameer Nair"/>
    <n v="53"/>
    <x v="0"/>
    <x v="3"/>
    <x v="11"/>
    <s v="02-06-2025"/>
    <s v="07-06-2025"/>
    <s v="17-06-2025"/>
    <x v="3"/>
    <n v="120000"/>
    <n v="4"/>
    <n v="480000"/>
    <n v="312000"/>
    <x v="0"/>
    <x v="4"/>
    <n v="72000"/>
    <x v="11"/>
    <x v="0"/>
    <x v="3"/>
    <n v="2025"/>
    <x v="5"/>
  </r>
  <r>
    <s v="B396"/>
    <s v="Bhavna Nair"/>
    <n v="58"/>
    <x v="1"/>
    <x v="0"/>
    <x v="5"/>
    <s v="24-03-2025"/>
    <s v="03-04-2025"/>
    <s v="11-04-2025"/>
    <x v="0"/>
    <n v="18000"/>
    <n v="1"/>
    <n v="18000"/>
    <n v="9000"/>
    <x v="1"/>
    <x v="1"/>
    <n v="0"/>
    <x v="1"/>
    <x v="1"/>
    <x v="6"/>
    <n v="2025"/>
    <x v="4"/>
  </r>
  <r>
    <s v="B397"/>
    <s v="Aditi Sharma"/>
    <n v="44"/>
    <x v="1"/>
    <x v="0"/>
    <x v="13"/>
    <s v="22-06-2025"/>
    <s v="04-07-2025"/>
    <s v="10-07-2025"/>
    <x v="0"/>
    <n v="18000"/>
    <n v="2"/>
    <n v="36000"/>
    <n v="18000"/>
    <x v="1"/>
    <x v="1"/>
    <n v="0"/>
    <x v="1"/>
    <x v="1"/>
    <x v="3"/>
    <n v="2025"/>
    <x v="3"/>
  </r>
  <r>
    <s v="B398"/>
    <s v="Vivaan Chowdhury"/>
    <n v="19"/>
    <x v="0"/>
    <x v="3"/>
    <x v="7"/>
    <s v="30-01-2025"/>
    <s v="07-02-2025"/>
    <s v="13-02-2025"/>
    <x v="3"/>
    <n v="120000"/>
    <n v="2"/>
    <n v="240000"/>
    <n v="156000"/>
    <x v="1"/>
    <x v="1"/>
    <n v="0"/>
    <x v="1"/>
    <x v="1"/>
    <x v="1"/>
    <n v="2025"/>
    <x v="8"/>
  </r>
  <r>
    <s v="B399"/>
    <s v="Diya Gupta"/>
    <n v="36"/>
    <x v="1"/>
    <x v="0"/>
    <x v="6"/>
    <s v="17-08-2025"/>
    <s v="09-09-2025"/>
    <s v="12-09-2025"/>
    <x v="0"/>
    <n v="18000"/>
    <n v="2"/>
    <n v="36000"/>
    <n v="18000"/>
    <x v="1"/>
    <x v="1"/>
    <n v="0"/>
    <x v="1"/>
    <x v="1"/>
    <x v="5"/>
    <n v="2025"/>
    <x v="7"/>
  </r>
  <r>
    <s v="B400"/>
    <s v="Ananya Mishra"/>
    <n v="43"/>
    <x v="1"/>
    <x v="0"/>
    <x v="18"/>
    <s v="23-02-2025"/>
    <s v="12-03-2025"/>
    <s v="22-03-2025"/>
    <x v="0"/>
    <n v="18000"/>
    <n v="4"/>
    <n v="72000"/>
    <n v="36000"/>
    <x v="0"/>
    <x v="0"/>
    <n v="3600"/>
    <x v="16"/>
    <x v="0"/>
    <x v="7"/>
    <n v="2025"/>
    <x v="3"/>
  </r>
  <r>
    <s v="B401"/>
    <s v="Diya Iyer"/>
    <n v="25"/>
    <x v="1"/>
    <x v="2"/>
    <x v="10"/>
    <s v="24-03-2025"/>
    <s v="23-04-2025"/>
    <s v="27-04-2025"/>
    <x v="2"/>
    <n v="80000"/>
    <n v="2"/>
    <n v="160000"/>
    <n v="96000"/>
    <x v="0"/>
    <x v="3"/>
    <n v="19200"/>
    <x v="3"/>
    <x v="0"/>
    <x v="6"/>
    <n v="2025"/>
    <x v="1"/>
  </r>
  <r>
    <s v="B402"/>
    <s v="Vikas Jain"/>
    <n v="42"/>
    <x v="0"/>
    <x v="3"/>
    <x v="7"/>
    <s v="19-07-2025"/>
    <s v="13-08-2025"/>
    <s v="19-08-2025"/>
    <x v="3"/>
    <n v="120000"/>
    <n v="2"/>
    <n v="240000"/>
    <n v="156000"/>
    <x v="1"/>
    <x v="1"/>
    <n v="0"/>
    <x v="1"/>
    <x v="1"/>
    <x v="0"/>
    <n v="2025"/>
    <x v="3"/>
  </r>
  <r>
    <s v="B403"/>
    <s v="Karan Das"/>
    <n v="32"/>
    <x v="0"/>
    <x v="4"/>
    <x v="7"/>
    <s v="05-01-2025"/>
    <s v="04-02-2025"/>
    <s v="13-02-2025"/>
    <x v="4"/>
    <n v="70000"/>
    <n v="1"/>
    <n v="70000"/>
    <n v="42000"/>
    <x v="0"/>
    <x v="5"/>
    <n v="4900.0000000000009"/>
    <x v="9"/>
    <x v="0"/>
    <x v="1"/>
    <n v="2025"/>
    <x v="0"/>
  </r>
  <r>
    <s v="B404"/>
    <s v="Vikas Chowdhury"/>
    <n v="30"/>
    <x v="0"/>
    <x v="1"/>
    <x v="10"/>
    <s v="10-03-2025"/>
    <s v="19-03-2025"/>
    <s v="25-03-2025"/>
    <x v="1"/>
    <n v="60000"/>
    <n v="2"/>
    <n v="120000"/>
    <n v="78000"/>
    <x v="1"/>
    <x v="1"/>
    <n v="0"/>
    <x v="1"/>
    <x v="1"/>
    <x v="6"/>
    <n v="2025"/>
    <x v="0"/>
  </r>
  <r>
    <s v="B405"/>
    <s v="Shreya Agarwal"/>
    <n v="35"/>
    <x v="1"/>
    <x v="0"/>
    <x v="4"/>
    <s v="03-02-2025"/>
    <s v="08-02-2025"/>
    <s v="18-02-2025"/>
    <x v="0"/>
    <n v="18000"/>
    <n v="2"/>
    <n v="36000"/>
    <n v="18000"/>
    <x v="1"/>
    <x v="1"/>
    <n v="0"/>
    <x v="1"/>
    <x v="1"/>
    <x v="7"/>
    <n v="2025"/>
    <x v="7"/>
  </r>
  <r>
    <s v="B406"/>
    <s v="Bhavna Mishra"/>
    <n v="23"/>
    <x v="1"/>
    <x v="0"/>
    <x v="12"/>
    <s v="24-03-2025"/>
    <s v="18-04-2025"/>
    <s v="24-04-2025"/>
    <x v="0"/>
    <n v="18000"/>
    <n v="4"/>
    <n v="72000"/>
    <n v="36000"/>
    <x v="1"/>
    <x v="1"/>
    <n v="0"/>
    <x v="1"/>
    <x v="1"/>
    <x v="6"/>
    <n v="2025"/>
    <x v="6"/>
  </r>
  <r>
    <s v="B407"/>
    <s v="Aditi Patel"/>
    <n v="55"/>
    <x v="1"/>
    <x v="4"/>
    <x v="11"/>
    <s v="04-05-2025"/>
    <s v="03-06-2025"/>
    <s v="06-06-2025"/>
    <x v="4"/>
    <n v="70000"/>
    <n v="4"/>
    <n v="280000"/>
    <n v="168000"/>
    <x v="1"/>
    <x v="1"/>
    <n v="0"/>
    <x v="1"/>
    <x v="1"/>
    <x v="2"/>
    <n v="2025"/>
    <x v="4"/>
  </r>
  <r>
    <s v="B408"/>
    <s v="Sameer Chowdhury"/>
    <n v="45"/>
    <x v="0"/>
    <x v="0"/>
    <x v="5"/>
    <s v="16-01-2025"/>
    <s v="11-02-2025"/>
    <s v="16-02-2025"/>
    <x v="0"/>
    <n v="18000"/>
    <n v="4"/>
    <n v="72000"/>
    <n v="36000"/>
    <x v="0"/>
    <x v="0"/>
    <n v="3600"/>
    <x v="16"/>
    <x v="0"/>
    <x v="1"/>
    <n v="2025"/>
    <x v="2"/>
  </r>
  <r>
    <s v="B409"/>
    <s v="Arjun Nair"/>
    <n v="46"/>
    <x v="0"/>
    <x v="3"/>
    <x v="1"/>
    <s v="10-05-2025"/>
    <s v="31-05-2025"/>
    <s v="09-06-2025"/>
    <x v="3"/>
    <n v="120000"/>
    <n v="4"/>
    <n v="480000"/>
    <n v="312000"/>
    <x v="0"/>
    <x v="4"/>
    <n v="72000"/>
    <x v="11"/>
    <x v="0"/>
    <x v="2"/>
    <n v="2025"/>
    <x v="2"/>
  </r>
  <r>
    <s v="B410"/>
    <s v="Sunita Sharma"/>
    <n v="29"/>
    <x v="1"/>
    <x v="2"/>
    <x v="7"/>
    <s v="04-06-2025"/>
    <s v="29-06-2025"/>
    <s v="05-07-2025"/>
    <x v="2"/>
    <n v="80000"/>
    <n v="2"/>
    <n v="160000"/>
    <n v="96000"/>
    <x v="1"/>
    <x v="1"/>
    <n v="0"/>
    <x v="1"/>
    <x v="1"/>
    <x v="3"/>
    <n v="2025"/>
    <x v="1"/>
  </r>
  <r>
    <s v="B411"/>
    <s v="Karan Mishra"/>
    <n v="49"/>
    <x v="0"/>
    <x v="1"/>
    <x v="2"/>
    <s v="01-07-2025"/>
    <s v="29-07-2025"/>
    <s v="01-08-2025"/>
    <x v="1"/>
    <n v="60000"/>
    <n v="3"/>
    <n v="180000"/>
    <n v="117000"/>
    <x v="0"/>
    <x v="2"/>
    <n v="18000"/>
    <x v="12"/>
    <x v="0"/>
    <x v="0"/>
    <n v="2025"/>
    <x v="2"/>
  </r>
  <r>
    <s v="B412"/>
    <s v="Sneha Khan"/>
    <n v="49"/>
    <x v="1"/>
    <x v="4"/>
    <x v="2"/>
    <s v="30-06-2025"/>
    <s v="19-07-2025"/>
    <s v="22-07-2025"/>
    <x v="4"/>
    <n v="70000"/>
    <n v="4"/>
    <n v="280000"/>
    <n v="168000"/>
    <x v="0"/>
    <x v="5"/>
    <n v="19600.000000000004"/>
    <x v="10"/>
    <x v="0"/>
    <x v="3"/>
    <n v="2025"/>
    <x v="2"/>
  </r>
  <r>
    <s v="B413"/>
    <s v="Harsh Menon"/>
    <n v="26"/>
    <x v="0"/>
    <x v="4"/>
    <x v="11"/>
    <s v="27-05-2025"/>
    <s v="16-06-2025"/>
    <s v="26-06-2025"/>
    <x v="4"/>
    <n v="70000"/>
    <n v="3"/>
    <n v="210000"/>
    <n v="126000"/>
    <x v="0"/>
    <x v="5"/>
    <n v="14700.000000000002"/>
    <x v="13"/>
    <x v="0"/>
    <x v="2"/>
    <n v="2025"/>
    <x v="1"/>
  </r>
  <r>
    <s v="B414"/>
    <s v="Harsh Gupta"/>
    <n v="29"/>
    <x v="0"/>
    <x v="1"/>
    <x v="8"/>
    <s v="26-08-2025"/>
    <s v="14-09-2025"/>
    <s v="19-09-2025"/>
    <x v="1"/>
    <n v="60000"/>
    <n v="2"/>
    <n v="120000"/>
    <n v="78000"/>
    <x v="1"/>
    <x v="1"/>
    <n v="0"/>
    <x v="1"/>
    <x v="1"/>
    <x v="5"/>
    <n v="2025"/>
    <x v="1"/>
  </r>
  <r>
    <s v="B415"/>
    <s v="Aditi Reddy"/>
    <n v="21"/>
    <x v="1"/>
    <x v="3"/>
    <x v="2"/>
    <s v="10-05-2025"/>
    <s v="17-05-2025"/>
    <s v="27-05-2025"/>
    <x v="3"/>
    <n v="120000"/>
    <n v="4"/>
    <n v="480000"/>
    <n v="312000"/>
    <x v="1"/>
    <x v="1"/>
    <n v="0"/>
    <x v="1"/>
    <x v="1"/>
    <x v="2"/>
    <n v="2025"/>
    <x v="6"/>
  </r>
  <r>
    <s v="B416"/>
    <s v="Sunita Tripathi"/>
    <n v="30"/>
    <x v="1"/>
    <x v="0"/>
    <x v="6"/>
    <s v="11-08-2025"/>
    <s v="01-09-2025"/>
    <s v="11-09-2025"/>
    <x v="0"/>
    <n v="18000"/>
    <n v="4"/>
    <n v="72000"/>
    <n v="36000"/>
    <x v="0"/>
    <x v="0"/>
    <n v="3600"/>
    <x v="16"/>
    <x v="0"/>
    <x v="5"/>
    <n v="2025"/>
    <x v="0"/>
  </r>
  <r>
    <s v="B417"/>
    <s v="Sneha Joshi"/>
    <n v="27"/>
    <x v="1"/>
    <x v="1"/>
    <x v="13"/>
    <s v="27-08-2025"/>
    <s v="07-09-2025"/>
    <s v="15-09-2025"/>
    <x v="1"/>
    <n v="60000"/>
    <n v="2"/>
    <n v="120000"/>
    <n v="78000"/>
    <x v="1"/>
    <x v="1"/>
    <n v="0"/>
    <x v="1"/>
    <x v="1"/>
    <x v="5"/>
    <n v="2025"/>
    <x v="1"/>
  </r>
  <r>
    <s v="B418"/>
    <s v="Sneha Gupta"/>
    <n v="43"/>
    <x v="1"/>
    <x v="4"/>
    <x v="2"/>
    <s v="16-06-2025"/>
    <s v="22-06-2025"/>
    <s v="25-06-2025"/>
    <x v="4"/>
    <n v="70000"/>
    <n v="4"/>
    <n v="280000"/>
    <n v="168000"/>
    <x v="1"/>
    <x v="1"/>
    <n v="0"/>
    <x v="1"/>
    <x v="1"/>
    <x v="3"/>
    <n v="2025"/>
    <x v="3"/>
  </r>
  <r>
    <s v="B419"/>
    <s v="Anil Patel"/>
    <n v="49"/>
    <x v="0"/>
    <x v="0"/>
    <x v="0"/>
    <s v="22-01-2025"/>
    <s v="20-02-2025"/>
    <s v="28-02-2025"/>
    <x v="0"/>
    <n v="18000"/>
    <n v="2"/>
    <n v="36000"/>
    <n v="18000"/>
    <x v="1"/>
    <x v="1"/>
    <n v="0"/>
    <x v="1"/>
    <x v="1"/>
    <x v="1"/>
    <n v="2025"/>
    <x v="2"/>
  </r>
  <r>
    <s v="B420"/>
    <s v="Swati Pandey"/>
    <n v="53"/>
    <x v="1"/>
    <x v="0"/>
    <x v="18"/>
    <s v="23-01-2025"/>
    <s v="20-02-2025"/>
    <s v="01-03-2025"/>
    <x v="0"/>
    <n v="18000"/>
    <n v="4"/>
    <n v="72000"/>
    <n v="36000"/>
    <x v="0"/>
    <x v="0"/>
    <n v="3600"/>
    <x v="16"/>
    <x v="0"/>
    <x v="1"/>
    <n v="2025"/>
    <x v="5"/>
  </r>
  <r>
    <s v="B421"/>
    <s v="Rohan Joshi"/>
    <n v="27"/>
    <x v="0"/>
    <x v="2"/>
    <x v="1"/>
    <s v="10-01-2025"/>
    <s v="07-02-2025"/>
    <s v="13-02-2025"/>
    <x v="2"/>
    <n v="80000"/>
    <n v="2"/>
    <n v="160000"/>
    <n v="96000"/>
    <x v="1"/>
    <x v="1"/>
    <n v="0"/>
    <x v="1"/>
    <x v="1"/>
    <x v="1"/>
    <n v="2025"/>
    <x v="1"/>
  </r>
  <r>
    <s v="B422"/>
    <s v="Nikhil Nair"/>
    <n v="24"/>
    <x v="0"/>
    <x v="2"/>
    <x v="0"/>
    <s v="20-01-2025"/>
    <s v="12-02-2025"/>
    <s v="18-02-2025"/>
    <x v="2"/>
    <n v="80000"/>
    <n v="2"/>
    <n v="160000"/>
    <n v="96000"/>
    <x v="0"/>
    <x v="3"/>
    <n v="19200"/>
    <x v="3"/>
    <x v="0"/>
    <x v="1"/>
    <n v="2025"/>
    <x v="6"/>
  </r>
  <r>
    <s v="B423"/>
    <s v="Suresh Shetty"/>
    <n v="56"/>
    <x v="0"/>
    <x v="0"/>
    <x v="19"/>
    <s v="13-01-2025"/>
    <s v="01-02-2025"/>
    <s v="10-02-2025"/>
    <x v="0"/>
    <n v="18000"/>
    <n v="3"/>
    <n v="54000"/>
    <n v="27000"/>
    <x v="0"/>
    <x v="0"/>
    <n v="2700"/>
    <x v="5"/>
    <x v="0"/>
    <x v="1"/>
    <n v="2025"/>
    <x v="4"/>
  </r>
  <r>
    <s v="B424"/>
    <s v="Komal Das"/>
    <n v="50"/>
    <x v="1"/>
    <x v="0"/>
    <x v="18"/>
    <s v="07-02-2025"/>
    <s v="15-02-2025"/>
    <s v="22-02-2025"/>
    <x v="0"/>
    <n v="18000"/>
    <n v="2"/>
    <n v="36000"/>
    <n v="18000"/>
    <x v="1"/>
    <x v="1"/>
    <n v="0"/>
    <x v="1"/>
    <x v="1"/>
    <x v="7"/>
    <n v="2025"/>
    <x v="5"/>
  </r>
  <r>
    <s v="B425"/>
    <s v="Ramesh Kapoor"/>
    <n v="18"/>
    <x v="0"/>
    <x v="4"/>
    <x v="8"/>
    <s v="06-03-2025"/>
    <s v="20-03-2025"/>
    <s v="25-03-2025"/>
    <x v="4"/>
    <n v="70000"/>
    <n v="4"/>
    <n v="280000"/>
    <n v="168000"/>
    <x v="1"/>
    <x v="1"/>
    <n v="0"/>
    <x v="1"/>
    <x v="1"/>
    <x v="6"/>
    <n v="2025"/>
    <x v="8"/>
  </r>
  <r>
    <s v="B426"/>
    <s v="Kavya Sharma"/>
    <n v="35"/>
    <x v="1"/>
    <x v="1"/>
    <x v="4"/>
    <s v="22-04-2025"/>
    <s v="09-05-2025"/>
    <s v="12-05-2025"/>
    <x v="1"/>
    <n v="60000"/>
    <n v="3"/>
    <n v="180000"/>
    <n v="117000"/>
    <x v="0"/>
    <x v="2"/>
    <n v="18000"/>
    <x v="12"/>
    <x v="0"/>
    <x v="4"/>
    <n v="2025"/>
    <x v="7"/>
  </r>
  <r>
    <s v="B427"/>
    <s v="Manish Joshi"/>
    <n v="46"/>
    <x v="0"/>
    <x v="3"/>
    <x v="2"/>
    <s v="24-02-2025"/>
    <s v="18-03-2025"/>
    <s v="25-03-2025"/>
    <x v="3"/>
    <n v="120000"/>
    <n v="1"/>
    <n v="120000"/>
    <n v="78000"/>
    <x v="0"/>
    <x v="4"/>
    <n v="18000"/>
    <x v="4"/>
    <x v="0"/>
    <x v="7"/>
    <n v="2025"/>
    <x v="2"/>
  </r>
  <r>
    <s v="B428"/>
    <s v="Arjun Jain"/>
    <n v="46"/>
    <x v="0"/>
    <x v="3"/>
    <x v="10"/>
    <s v="27-06-2025"/>
    <s v="08-07-2025"/>
    <s v="13-07-2025"/>
    <x v="3"/>
    <n v="120000"/>
    <n v="1"/>
    <n v="120000"/>
    <n v="78000"/>
    <x v="1"/>
    <x v="1"/>
    <n v="0"/>
    <x v="1"/>
    <x v="1"/>
    <x v="3"/>
    <n v="2025"/>
    <x v="2"/>
  </r>
  <r>
    <s v="B429"/>
    <s v="Sunita Iyer"/>
    <n v="22"/>
    <x v="1"/>
    <x v="1"/>
    <x v="4"/>
    <s v="08-08-2025"/>
    <s v="07-09-2025"/>
    <s v="17-09-2025"/>
    <x v="1"/>
    <n v="60000"/>
    <n v="3"/>
    <n v="180000"/>
    <n v="117000"/>
    <x v="0"/>
    <x v="2"/>
    <n v="18000"/>
    <x v="12"/>
    <x v="0"/>
    <x v="5"/>
    <n v="2025"/>
    <x v="6"/>
  </r>
  <r>
    <s v="B430"/>
    <s v="Nisha Gupta"/>
    <n v="53"/>
    <x v="1"/>
    <x v="4"/>
    <x v="13"/>
    <s v="01-07-2025"/>
    <s v="23-07-2025"/>
    <s v="02-08-2025"/>
    <x v="4"/>
    <n v="70000"/>
    <n v="2"/>
    <n v="140000"/>
    <n v="84000"/>
    <x v="1"/>
    <x v="1"/>
    <n v="0"/>
    <x v="1"/>
    <x v="1"/>
    <x v="0"/>
    <n v="2025"/>
    <x v="5"/>
  </r>
  <r>
    <s v="B431"/>
    <s v="Sanya Gupta"/>
    <n v="24"/>
    <x v="1"/>
    <x v="3"/>
    <x v="3"/>
    <s v="12-08-2025"/>
    <s v="05-09-2025"/>
    <s v="14-09-2025"/>
    <x v="3"/>
    <n v="120000"/>
    <n v="3"/>
    <n v="360000"/>
    <n v="234000"/>
    <x v="1"/>
    <x v="1"/>
    <n v="0"/>
    <x v="1"/>
    <x v="1"/>
    <x v="5"/>
    <n v="2025"/>
    <x v="6"/>
  </r>
  <r>
    <s v="B432"/>
    <s v="Bhavna Iyer"/>
    <n v="39"/>
    <x v="1"/>
    <x v="3"/>
    <x v="8"/>
    <s v="05-04-2025"/>
    <s v="29-04-2025"/>
    <s v="03-05-2025"/>
    <x v="3"/>
    <n v="120000"/>
    <n v="1"/>
    <n v="120000"/>
    <n v="78000"/>
    <x v="1"/>
    <x v="1"/>
    <n v="0"/>
    <x v="1"/>
    <x v="1"/>
    <x v="4"/>
    <n v="2025"/>
    <x v="7"/>
  </r>
  <r>
    <s v="B433"/>
    <s v="Sneha Nair"/>
    <n v="29"/>
    <x v="1"/>
    <x v="2"/>
    <x v="4"/>
    <s v="02-02-2025"/>
    <s v="15-02-2025"/>
    <s v="24-02-2025"/>
    <x v="2"/>
    <n v="80000"/>
    <n v="2"/>
    <n v="160000"/>
    <n v="96000"/>
    <x v="0"/>
    <x v="3"/>
    <n v="19200"/>
    <x v="3"/>
    <x v="0"/>
    <x v="7"/>
    <n v="2025"/>
    <x v="1"/>
  </r>
  <r>
    <s v="B434"/>
    <s v="Neha Jain"/>
    <n v="49"/>
    <x v="1"/>
    <x v="0"/>
    <x v="4"/>
    <s v="17-03-2025"/>
    <s v="30-03-2025"/>
    <s v="08-04-2025"/>
    <x v="0"/>
    <n v="18000"/>
    <n v="2"/>
    <n v="36000"/>
    <n v="18000"/>
    <x v="1"/>
    <x v="1"/>
    <n v="0"/>
    <x v="1"/>
    <x v="1"/>
    <x v="6"/>
    <n v="2025"/>
    <x v="2"/>
  </r>
  <r>
    <s v="B435"/>
    <s v="Deepak Patel"/>
    <n v="54"/>
    <x v="0"/>
    <x v="3"/>
    <x v="9"/>
    <d v="2025-07-10T00:00:00"/>
    <s v="09-08-2025"/>
    <s v="14-08-2025"/>
    <x v="3"/>
    <n v="120000"/>
    <n v="3"/>
    <n v="360000"/>
    <n v="234000"/>
    <x v="0"/>
    <x v="4"/>
    <n v="54000"/>
    <x v="17"/>
    <x v="0"/>
    <x v="0"/>
    <n v="2025"/>
    <x v="5"/>
  </r>
  <r>
    <s v="B436"/>
    <s v="Diya Joshi"/>
    <n v="55"/>
    <x v="1"/>
    <x v="3"/>
    <x v="1"/>
    <s v="13-04-2025"/>
    <s v="29-04-2025"/>
    <s v="02-05-2025"/>
    <x v="3"/>
    <n v="120000"/>
    <n v="1"/>
    <n v="120000"/>
    <n v="78000"/>
    <x v="1"/>
    <x v="1"/>
    <n v="0"/>
    <x v="1"/>
    <x v="1"/>
    <x v="4"/>
    <n v="2025"/>
    <x v="4"/>
  </r>
  <r>
    <s v="B437"/>
    <s v="Kavya Gupta"/>
    <n v="38"/>
    <x v="1"/>
    <x v="3"/>
    <x v="7"/>
    <s v="28-04-2025"/>
    <s v="09-05-2025"/>
    <s v="15-05-2025"/>
    <x v="3"/>
    <n v="120000"/>
    <n v="4"/>
    <n v="480000"/>
    <n v="312000"/>
    <x v="1"/>
    <x v="1"/>
    <n v="0"/>
    <x v="1"/>
    <x v="1"/>
    <x v="4"/>
    <n v="2025"/>
    <x v="7"/>
  </r>
  <r>
    <s v="B438"/>
    <s v="Manish Kapoor"/>
    <n v="28"/>
    <x v="0"/>
    <x v="4"/>
    <x v="13"/>
    <s v="03-07-2025"/>
    <s v="25-07-2025"/>
    <s v="29-07-2025"/>
    <x v="4"/>
    <n v="70000"/>
    <n v="3"/>
    <n v="210000"/>
    <n v="126000"/>
    <x v="0"/>
    <x v="5"/>
    <n v="14700.000000000002"/>
    <x v="13"/>
    <x v="0"/>
    <x v="0"/>
    <n v="2025"/>
    <x v="1"/>
  </r>
  <r>
    <s v="B439"/>
    <s v="Aditya Gupta"/>
    <n v="40"/>
    <x v="0"/>
    <x v="4"/>
    <x v="1"/>
    <s v="27-05-2025"/>
    <s v="01-06-2025"/>
    <s v="09-06-2025"/>
    <x v="4"/>
    <n v="70000"/>
    <n v="3"/>
    <n v="210000"/>
    <n v="126000"/>
    <x v="1"/>
    <x v="1"/>
    <n v="0"/>
    <x v="1"/>
    <x v="1"/>
    <x v="2"/>
    <n v="2025"/>
    <x v="3"/>
  </r>
  <r>
    <s v="B440"/>
    <s v="Deepak Nair"/>
    <n v="28"/>
    <x v="0"/>
    <x v="2"/>
    <x v="5"/>
    <s v="28-07-2025"/>
    <s v="24-08-2025"/>
    <s v="30-08-2025"/>
    <x v="2"/>
    <n v="80000"/>
    <n v="2"/>
    <n v="160000"/>
    <n v="96000"/>
    <x v="0"/>
    <x v="3"/>
    <n v="19200"/>
    <x v="3"/>
    <x v="0"/>
    <x v="0"/>
    <n v="2025"/>
    <x v="1"/>
  </r>
  <r>
    <s v="B441"/>
    <s v="Vikas Reddy"/>
    <n v="49"/>
    <x v="0"/>
    <x v="0"/>
    <x v="17"/>
    <s v="07-08-2025"/>
    <s v="25-08-2025"/>
    <s v="03-09-2025"/>
    <x v="0"/>
    <n v="18000"/>
    <n v="3"/>
    <n v="54000"/>
    <n v="27000"/>
    <x v="1"/>
    <x v="1"/>
    <n v="0"/>
    <x v="1"/>
    <x v="1"/>
    <x v="5"/>
    <n v="2025"/>
    <x v="2"/>
  </r>
  <r>
    <s v="B442"/>
    <s v="Sameer Pandey"/>
    <n v="18"/>
    <x v="0"/>
    <x v="0"/>
    <x v="5"/>
    <s v="21-07-2025"/>
    <s v="31-07-2025"/>
    <s v="09-08-2025"/>
    <x v="0"/>
    <n v="18000"/>
    <n v="1"/>
    <n v="18000"/>
    <n v="9000"/>
    <x v="0"/>
    <x v="0"/>
    <n v="900"/>
    <x v="0"/>
    <x v="0"/>
    <x v="0"/>
    <n v="2025"/>
    <x v="8"/>
  </r>
  <r>
    <s v="B443"/>
    <s v="Komal Reddy"/>
    <n v="59"/>
    <x v="1"/>
    <x v="0"/>
    <x v="15"/>
    <s v="26-01-2025"/>
    <s v="12-02-2025"/>
    <s v="18-02-2025"/>
    <x v="0"/>
    <n v="18000"/>
    <n v="4"/>
    <n v="72000"/>
    <n v="36000"/>
    <x v="0"/>
    <x v="0"/>
    <n v="3600"/>
    <x v="16"/>
    <x v="0"/>
    <x v="1"/>
    <n v="2025"/>
    <x v="4"/>
  </r>
  <r>
    <s v="B444"/>
    <s v="Meera Khan"/>
    <n v="48"/>
    <x v="1"/>
    <x v="3"/>
    <x v="11"/>
    <s v="30-05-2025"/>
    <s v="14-06-2025"/>
    <s v="24-06-2025"/>
    <x v="3"/>
    <n v="120000"/>
    <n v="1"/>
    <n v="120000"/>
    <n v="78000"/>
    <x v="1"/>
    <x v="1"/>
    <n v="0"/>
    <x v="1"/>
    <x v="1"/>
    <x v="2"/>
    <n v="2025"/>
    <x v="2"/>
  </r>
  <r>
    <s v="B445"/>
    <s v="Shreya Iyer"/>
    <n v="29"/>
    <x v="1"/>
    <x v="3"/>
    <x v="9"/>
    <s v="06-01-2025"/>
    <s v="29-01-2025"/>
    <s v="07-02-2025"/>
    <x v="3"/>
    <n v="120000"/>
    <n v="2"/>
    <n v="240000"/>
    <n v="156000"/>
    <x v="1"/>
    <x v="1"/>
    <n v="0"/>
    <x v="1"/>
    <x v="1"/>
    <x v="1"/>
    <n v="2025"/>
    <x v="1"/>
  </r>
  <r>
    <s v="B446"/>
    <s v="Nikhil Agarwal"/>
    <n v="42"/>
    <x v="0"/>
    <x v="3"/>
    <x v="8"/>
    <s v="24-01-2025"/>
    <s v="04-02-2025"/>
    <s v="08-02-2025"/>
    <x v="3"/>
    <n v="120000"/>
    <n v="4"/>
    <n v="480000"/>
    <n v="312000"/>
    <x v="0"/>
    <x v="4"/>
    <n v="72000"/>
    <x v="11"/>
    <x v="0"/>
    <x v="1"/>
    <n v="2025"/>
    <x v="3"/>
  </r>
  <r>
    <s v="B447"/>
    <s v="Sneha Sharma"/>
    <n v="46"/>
    <x v="1"/>
    <x v="4"/>
    <x v="1"/>
    <s v="10-02-2025"/>
    <s v="07-03-2025"/>
    <s v="16-03-2025"/>
    <x v="4"/>
    <n v="70000"/>
    <n v="2"/>
    <n v="140000"/>
    <n v="84000"/>
    <x v="0"/>
    <x v="5"/>
    <n v="9800.0000000000018"/>
    <x v="7"/>
    <x v="0"/>
    <x v="7"/>
    <n v="2025"/>
    <x v="2"/>
  </r>
  <r>
    <s v="B448"/>
    <s v="Aarohi Kulkarni"/>
    <n v="19"/>
    <x v="1"/>
    <x v="3"/>
    <x v="9"/>
    <s v="17-08-2025"/>
    <s v="24-08-2025"/>
    <s v="29-08-2025"/>
    <x v="3"/>
    <n v="120000"/>
    <n v="2"/>
    <n v="240000"/>
    <n v="156000"/>
    <x v="1"/>
    <x v="1"/>
    <n v="0"/>
    <x v="1"/>
    <x v="1"/>
    <x v="5"/>
    <n v="2025"/>
    <x v="8"/>
  </r>
  <r>
    <s v="B449"/>
    <s v="Isha Reddy"/>
    <n v="29"/>
    <x v="1"/>
    <x v="1"/>
    <x v="0"/>
    <s v="23-01-2025"/>
    <s v="02-02-2025"/>
    <s v="08-02-2025"/>
    <x v="1"/>
    <n v="60000"/>
    <n v="3"/>
    <n v="180000"/>
    <n v="117000"/>
    <x v="1"/>
    <x v="1"/>
    <n v="0"/>
    <x v="1"/>
    <x v="1"/>
    <x v="1"/>
    <n v="2025"/>
    <x v="1"/>
  </r>
  <r>
    <s v="B450"/>
    <s v="Isha Agarwal"/>
    <n v="52"/>
    <x v="1"/>
    <x v="0"/>
    <x v="16"/>
    <s v="06-06-2025"/>
    <s v="15-06-2025"/>
    <s v="22-06-2025"/>
    <x v="0"/>
    <n v="18000"/>
    <n v="4"/>
    <n v="72000"/>
    <n v="36000"/>
    <x v="0"/>
    <x v="0"/>
    <n v="3600"/>
    <x v="16"/>
    <x v="0"/>
    <x v="3"/>
    <n v="2025"/>
    <x v="5"/>
  </r>
  <r>
    <s v="B451"/>
    <s v="Priya Mishra"/>
    <n v="55"/>
    <x v="1"/>
    <x v="3"/>
    <x v="1"/>
    <s v="16-05-2025"/>
    <s v="31-05-2025"/>
    <s v="05-06-2025"/>
    <x v="3"/>
    <n v="120000"/>
    <n v="2"/>
    <n v="240000"/>
    <n v="156000"/>
    <x v="1"/>
    <x v="1"/>
    <n v="0"/>
    <x v="1"/>
    <x v="1"/>
    <x v="2"/>
    <n v="2025"/>
    <x v="4"/>
  </r>
  <r>
    <s v="B452"/>
    <s v="Meera Nair"/>
    <n v="25"/>
    <x v="1"/>
    <x v="3"/>
    <x v="3"/>
    <s v="05-02-2025"/>
    <s v="06-03-2025"/>
    <s v="12-03-2025"/>
    <x v="3"/>
    <n v="120000"/>
    <n v="1"/>
    <n v="120000"/>
    <n v="78000"/>
    <x v="0"/>
    <x v="4"/>
    <n v="18000"/>
    <x v="4"/>
    <x v="0"/>
    <x v="7"/>
    <n v="2025"/>
    <x v="1"/>
  </r>
  <r>
    <s v="B453"/>
    <s v="Bhavna Kapoor"/>
    <n v="55"/>
    <x v="1"/>
    <x v="3"/>
    <x v="11"/>
    <s v="04-02-2025"/>
    <s v="23-02-2025"/>
    <s v="27-02-2025"/>
    <x v="3"/>
    <n v="120000"/>
    <n v="2"/>
    <n v="240000"/>
    <n v="156000"/>
    <x v="0"/>
    <x v="4"/>
    <n v="36000"/>
    <x v="8"/>
    <x v="0"/>
    <x v="7"/>
    <n v="2025"/>
    <x v="4"/>
  </r>
  <r>
    <s v="B454"/>
    <s v="Nikhil Shetty"/>
    <n v="59"/>
    <x v="0"/>
    <x v="4"/>
    <x v="1"/>
    <s v="15-07-2025"/>
    <s v="07-08-2025"/>
    <s v="17-08-2025"/>
    <x v="4"/>
    <n v="70000"/>
    <n v="2"/>
    <n v="140000"/>
    <n v="84000"/>
    <x v="1"/>
    <x v="1"/>
    <n v="0"/>
    <x v="1"/>
    <x v="1"/>
    <x v="0"/>
    <n v="2025"/>
    <x v="4"/>
  </r>
  <r>
    <s v="B455"/>
    <s v="Ananya Joshi"/>
    <n v="59"/>
    <x v="1"/>
    <x v="4"/>
    <x v="7"/>
    <s v="19-01-2025"/>
    <s v="07-02-2025"/>
    <s v="14-02-2025"/>
    <x v="4"/>
    <n v="70000"/>
    <n v="4"/>
    <n v="280000"/>
    <n v="168000"/>
    <x v="1"/>
    <x v="1"/>
    <n v="0"/>
    <x v="1"/>
    <x v="1"/>
    <x v="1"/>
    <n v="2025"/>
    <x v="4"/>
  </r>
  <r>
    <s v="B456"/>
    <s v="Krishna Shetty"/>
    <n v="27"/>
    <x v="0"/>
    <x v="0"/>
    <x v="0"/>
    <s v="23-04-2025"/>
    <s v="20-05-2025"/>
    <s v="24-05-2025"/>
    <x v="0"/>
    <n v="18000"/>
    <n v="3"/>
    <n v="54000"/>
    <n v="27000"/>
    <x v="1"/>
    <x v="1"/>
    <n v="0"/>
    <x v="1"/>
    <x v="1"/>
    <x v="4"/>
    <n v="2025"/>
    <x v="1"/>
  </r>
  <r>
    <s v="B457"/>
    <s v="Aarohi Nair"/>
    <n v="27"/>
    <x v="1"/>
    <x v="2"/>
    <x v="8"/>
    <s v="29-07-2025"/>
    <s v="23-08-2025"/>
    <s v="02-09-2025"/>
    <x v="2"/>
    <n v="80000"/>
    <n v="2"/>
    <n v="160000"/>
    <n v="96000"/>
    <x v="0"/>
    <x v="3"/>
    <n v="19200"/>
    <x v="3"/>
    <x v="0"/>
    <x v="0"/>
    <n v="2025"/>
    <x v="1"/>
  </r>
  <r>
    <s v="B458"/>
    <s v="Vivaan Joshi"/>
    <n v="30"/>
    <x v="0"/>
    <x v="2"/>
    <x v="2"/>
    <s v="27-04-2025"/>
    <s v="09-05-2025"/>
    <s v="18-05-2025"/>
    <x v="2"/>
    <n v="80000"/>
    <n v="2"/>
    <n v="160000"/>
    <n v="96000"/>
    <x v="1"/>
    <x v="1"/>
    <n v="0"/>
    <x v="1"/>
    <x v="1"/>
    <x v="4"/>
    <n v="2025"/>
    <x v="0"/>
  </r>
  <r>
    <s v="B459"/>
    <s v="Pooja Pandey"/>
    <n v="29"/>
    <x v="1"/>
    <x v="0"/>
    <x v="5"/>
    <s v="22-01-2025"/>
    <s v="12-02-2025"/>
    <s v="15-02-2025"/>
    <x v="0"/>
    <n v="18000"/>
    <n v="1"/>
    <n v="18000"/>
    <n v="9000"/>
    <x v="0"/>
    <x v="0"/>
    <n v="900"/>
    <x v="0"/>
    <x v="0"/>
    <x v="1"/>
    <n v="2025"/>
    <x v="1"/>
  </r>
  <r>
    <s v="B460"/>
    <s v="Harsh Nair"/>
    <n v="18"/>
    <x v="0"/>
    <x v="1"/>
    <x v="1"/>
    <s v="16-01-2025"/>
    <s v="03-02-2025"/>
    <s v="12-02-2025"/>
    <x v="1"/>
    <n v="60000"/>
    <n v="1"/>
    <n v="60000"/>
    <n v="39000"/>
    <x v="1"/>
    <x v="1"/>
    <n v="0"/>
    <x v="1"/>
    <x v="1"/>
    <x v="1"/>
    <n v="2025"/>
    <x v="8"/>
  </r>
  <r>
    <s v="B461"/>
    <s v="Vivaan Agarwal"/>
    <n v="50"/>
    <x v="0"/>
    <x v="0"/>
    <x v="12"/>
    <s v="08-05-2025"/>
    <s v="07-06-2025"/>
    <s v="15-06-2025"/>
    <x v="0"/>
    <n v="18000"/>
    <n v="3"/>
    <n v="54000"/>
    <n v="27000"/>
    <x v="1"/>
    <x v="1"/>
    <n v="0"/>
    <x v="1"/>
    <x v="1"/>
    <x v="2"/>
    <n v="2025"/>
    <x v="5"/>
  </r>
  <r>
    <s v="B462"/>
    <s v="Sanya Kulkarni"/>
    <n v="24"/>
    <x v="1"/>
    <x v="4"/>
    <x v="13"/>
    <s v="09-08-2025"/>
    <s v="05-09-2025"/>
    <s v="08-09-2025"/>
    <x v="4"/>
    <n v="70000"/>
    <n v="4"/>
    <n v="280000"/>
    <n v="168000"/>
    <x v="1"/>
    <x v="1"/>
    <n v="0"/>
    <x v="1"/>
    <x v="1"/>
    <x v="5"/>
    <n v="2025"/>
    <x v="6"/>
  </r>
  <r>
    <s v="B463"/>
    <s v="Vivaan Pandey"/>
    <n v="30"/>
    <x v="0"/>
    <x v="4"/>
    <x v="10"/>
    <s v="20-01-2025"/>
    <s v="08-02-2025"/>
    <s v="11-02-2025"/>
    <x v="4"/>
    <n v="70000"/>
    <n v="3"/>
    <n v="210000"/>
    <n v="126000"/>
    <x v="1"/>
    <x v="1"/>
    <n v="0"/>
    <x v="1"/>
    <x v="1"/>
    <x v="1"/>
    <n v="2025"/>
    <x v="0"/>
  </r>
  <r>
    <s v="B464"/>
    <s v="Kabir Kulkarni"/>
    <n v="26"/>
    <x v="0"/>
    <x v="2"/>
    <x v="4"/>
    <s v="25-06-2025"/>
    <s v="25-07-2025"/>
    <s v="03-08-2025"/>
    <x v="2"/>
    <n v="80000"/>
    <n v="2"/>
    <n v="160000"/>
    <n v="96000"/>
    <x v="0"/>
    <x v="3"/>
    <n v="19200"/>
    <x v="3"/>
    <x v="0"/>
    <x v="3"/>
    <n v="2025"/>
    <x v="1"/>
  </r>
  <r>
    <s v="B465"/>
    <s v="Nisha Chowdhury"/>
    <n v="28"/>
    <x v="1"/>
    <x v="2"/>
    <x v="1"/>
    <s v="15-03-2025"/>
    <s v="20-03-2025"/>
    <s v="30-03-2025"/>
    <x v="2"/>
    <n v="80000"/>
    <n v="2"/>
    <n v="160000"/>
    <n v="96000"/>
    <x v="1"/>
    <x v="1"/>
    <n v="0"/>
    <x v="1"/>
    <x v="1"/>
    <x v="6"/>
    <n v="2025"/>
    <x v="1"/>
  </r>
  <r>
    <s v="B466"/>
    <s v="Nisha Kulkarni"/>
    <n v="50"/>
    <x v="1"/>
    <x v="1"/>
    <x v="11"/>
    <s v="01-07-2025"/>
    <s v="21-07-2025"/>
    <s v="28-07-2025"/>
    <x v="1"/>
    <n v="60000"/>
    <n v="3"/>
    <n v="180000"/>
    <n v="117000"/>
    <x v="0"/>
    <x v="2"/>
    <n v="18000"/>
    <x v="12"/>
    <x v="0"/>
    <x v="0"/>
    <n v="2025"/>
    <x v="5"/>
  </r>
  <r>
    <s v="B467"/>
    <s v="Rohan Menon"/>
    <n v="58"/>
    <x v="0"/>
    <x v="0"/>
    <x v="5"/>
    <s v="23-05-2025"/>
    <s v="13-06-2025"/>
    <s v="18-06-2025"/>
    <x v="0"/>
    <n v="18000"/>
    <n v="4"/>
    <n v="72000"/>
    <n v="36000"/>
    <x v="1"/>
    <x v="1"/>
    <n v="0"/>
    <x v="1"/>
    <x v="1"/>
    <x v="2"/>
    <n v="2025"/>
    <x v="4"/>
  </r>
  <r>
    <s v="B468"/>
    <s v="Kabir Patel"/>
    <n v="32"/>
    <x v="0"/>
    <x v="2"/>
    <x v="1"/>
    <s v="01-06-2025"/>
    <s v="29-06-2025"/>
    <s v="05-07-2025"/>
    <x v="2"/>
    <n v="80000"/>
    <n v="2"/>
    <n v="160000"/>
    <n v="96000"/>
    <x v="0"/>
    <x v="3"/>
    <n v="19200"/>
    <x v="3"/>
    <x v="0"/>
    <x v="3"/>
    <n v="2025"/>
    <x v="0"/>
  </r>
  <r>
    <s v="B469"/>
    <s v="Anil Pandey"/>
    <n v="45"/>
    <x v="0"/>
    <x v="1"/>
    <x v="7"/>
    <s v="29-01-2025"/>
    <s v="17-02-2025"/>
    <s v="23-02-2025"/>
    <x v="1"/>
    <n v="60000"/>
    <n v="1"/>
    <n v="60000"/>
    <n v="39000"/>
    <x v="0"/>
    <x v="2"/>
    <n v="6000"/>
    <x v="15"/>
    <x v="0"/>
    <x v="1"/>
    <n v="2025"/>
    <x v="2"/>
  </r>
  <r>
    <s v="B470"/>
    <s v="Isha Kapoor"/>
    <n v="25"/>
    <x v="1"/>
    <x v="2"/>
    <x v="10"/>
    <s v="16-01-2025"/>
    <s v="06-02-2025"/>
    <s v="16-02-2025"/>
    <x v="2"/>
    <n v="80000"/>
    <n v="2"/>
    <n v="160000"/>
    <n v="96000"/>
    <x v="1"/>
    <x v="1"/>
    <n v="0"/>
    <x v="1"/>
    <x v="1"/>
    <x v="1"/>
    <n v="2025"/>
    <x v="1"/>
  </r>
  <r>
    <s v="B471"/>
    <s v="Pranav Kapoor"/>
    <n v="46"/>
    <x v="0"/>
    <x v="3"/>
    <x v="8"/>
    <s v="11-04-2025"/>
    <s v="23-04-2025"/>
    <s v="02-05-2025"/>
    <x v="3"/>
    <n v="120000"/>
    <n v="3"/>
    <n v="360000"/>
    <n v="234000"/>
    <x v="0"/>
    <x v="4"/>
    <n v="54000"/>
    <x v="17"/>
    <x v="0"/>
    <x v="4"/>
    <n v="2025"/>
    <x v="2"/>
  </r>
  <r>
    <s v="B472"/>
    <s v="Aditya Patel"/>
    <n v="42"/>
    <x v="0"/>
    <x v="1"/>
    <x v="7"/>
    <s v="25-05-2025"/>
    <s v="06-06-2025"/>
    <s v="14-06-2025"/>
    <x v="1"/>
    <n v="60000"/>
    <n v="2"/>
    <n v="120000"/>
    <n v="78000"/>
    <x v="0"/>
    <x v="2"/>
    <n v="12000"/>
    <x v="6"/>
    <x v="0"/>
    <x v="2"/>
    <n v="2025"/>
    <x v="3"/>
  </r>
  <r>
    <s v="B473"/>
    <s v="Sneha Jain"/>
    <n v="30"/>
    <x v="1"/>
    <x v="2"/>
    <x v="13"/>
    <s v="06-01-2025"/>
    <s v="19-01-2025"/>
    <s v="28-01-2025"/>
    <x v="2"/>
    <n v="80000"/>
    <n v="4"/>
    <n v="320000"/>
    <n v="192000"/>
    <x v="1"/>
    <x v="1"/>
    <n v="0"/>
    <x v="1"/>
    <x v="1"/>
    <x v="1"/>
    <n v="2025"/>
    <x v="0"/>
  </r>
  <r>
    <s v="B474"/>
    <s v="Sanya Nair"/>
    <n v="41"/>
    <x v="1"/>
    <x v="3"/>
    <x v="9"/>
    <s v="12-05-2025"/>
    <s v="05-06-2025"/>
    <s v="11-06-2025"/>
    <x v="3"/>
    <n v="120000"/>
    <n v="1"/>
    <n v="120000"/>
    <n v="78000"/>
    <x v="0"/>
    <x v="4"/>
    <n v="18000"/>
    <x v="4"/>
    <x v="0"/>
    <x v="2"/>
    <n v="2025"/>
    <x v="3"/>
  </r>
  <r>
    <s v="B475"/>
    <s v="Rahul Agarwal"/>
    <n v="29"/>
    <x v="0"/>
    <x v="2"/>
    <x v="10"/>
    <s v="19-07-2025"/>
    <s v="18-08-2025"/>
    <s v="24-08-2025"/>
    <x v="2"/>
    <n v="80000"/>
    <n v="2"/>
    <n v="160000"/>
    <n v="96000"/>
    <x v="1"/>
    <x v="1"/>
    <n v="0"/>
    <x v="1"/>
    <x v="1"/>
    <x v="0"/>
    <n v="2025"/>
    <x v="1"/>
  </r>
  <r>
    <s v="B476"/>
    <s v="Sameer Jain"/>
    <n v="28"/>
    <x v="0"/>
    <x v="2"/>
    <x v="4"/>
    <s v="03-04-2025"/>
    <s v="11-04-2025"/>
    <s v="17-04-2025"/>
    <x v="2"/>
    <n v="80000"/>
    <n v="2"/>
    <n v="160000"/>
    <n v="96000"/>
    <x v="1"/>
    <x v="1"/>
    <n v="0"/>
    <x v="1"/>
    <x v="1"/>
    <x v="4"/>
    <n v="2025"/>
    <x v="1"/>
  </r>
  <r>
    <s v="B477"/>
    <s v="Kabir Khan"/>
    <n v="54"/>
    <x v="0"/>
    <x v="1"/>
    <x v="8"/>
    <s v="23-07-2025"/>
    <s v="20-08-2025"/>
    <s v="28-08-2025"/>
    <x v="1"/>
    <n v="60000"/>
    <n v="3"/>
    <n v="180000"/>
    <n v="117000"/>
    <x v="0"/>
    <x v="2"/>
    <n v="18000"/>
    <x v="12"/>
    <x v="0"/>
    <x v="0"/>
    <n v="2025"/>
    <x v="5"/>
  </r>
  <r>
    <s v="B478"/>
    <s v="Pranav Pandey"/>
    <n v="55"/>
    <x v="0"/>
    <x v="3"/>
    <x v="7"/>
    <s v="08-02-2025"/>
    <s v="24-02-2025"/>
    <s v="02-03-2025"/>
    <x v="3"/>
    <n v="120000"/>
    <n v="4"/>
    <n v="480000"/>
    <n v="312000"/>
    <x v="1"/>
    <x v="1"/>
    <n v="0"/>
    <x v="1"/>
    <x v="1"/>
    <x v="7"/>
    <n v="2025"/>
    <x v="4"/>
  </r>
  <r>
    <s v="B479"/>
    <s v="Kavya Bose"/>
    <n v="27"/>
    <x v="1"/>
    <x v="4"/>
    <x v="0"/>
    <s v="07-02-2025"/>
    <s v="23-02-2025"/>
    <s v="27-02-2025"/>
    <x v="4"/>
    <n v="70000"/>
    <n v="4"/>
    <n v="280000"/>
    <n v="168000"/>
    <x v="1"/>
    <x v="1"/>
    <n v="0"/>
    <x v="1"/>
    <x v="1"/>
    <x v="7"/>
    <n v="2025"/>
    <x v="1"/>
  </r>
  <r>
    <s v="B480"/>
    <s v="Ritika Pandey"/>
    <n v="20"/>
    <x v="1"/>
    <x v="1"/>
    <x v="11"/>
    <s v="12-05-2025"/>
    <s v="26-05-2025"/>
    <s v="03-06-2025"/>
    <x v="1"/>
    <n v="60000"/>
    <n v="4"/>
    <n v="240000"/>
    <n v="156000"/>
    <x v="0"/>
    <x v="2"/>
    <n v="24000"/>
    <x v="2"/>
    <x v="0"/>
    <x v="2"/>
    <n v="2025"/>
    <x v="6"/>
  </r>
  <r>
    <s v="B481"/>
    <s v="Harsh Bose"/>
    <n v="44"/>
    <x v="0"/>
    <x v="3"/>
    <x v="10"/>
    <s v="08-03-2025"/>
    <s v="27-03-2025"/>
    <s v="31-03-2025"/>
    <x v="3"/>
    <n v="120000"/>
    <n v="4"/>
    <n v="480000"/>
    <n v="312000"/>
    <x v="0"/>
    <x v="4"/>
    <n v="72000"/>
    <x v="11"/>
    <x v="0"/>
    <x v="6"/>
    <n v="2025"/>
    <x v="3"/>
  </r>
  <r>
    <s v="B482"/>
    <s v="Payal Das"/>
    <n v="19"/>
    <x v="1"/>
    <x v="0"/>
    <x v="0"/>
    <s v="27-08-2025"/>
    <s v="22-09-2025"/>
    <s v="26-09-2025"/>
    <x v="0"/>
    <n v="18000"/>
    <n v="4"/>
    <n v="72000"/>
    <n v="36000"/>
    <x v="1"/>
    <x v="1"/>
    <n v="0"/>
    <x v="1"/>
    <x v="1"/>
    <x v="5"/>
    <n v="2025"/>
    <x v="8"/>
  </r>
  <r>
    <s v="B483"/>
    <s v="Aarohi Gupta"/>
    <n v="58"/>
    <x v="1"/>
    <x v="0"/>
    <x v="6"/>
    <s v="20-01-2025"/>
    <s v="28-01-2025"/>
    <s v="06-02-2025"/>
    <x v="0"/>
    <n v="18000"/>
    <n v="1"/>
    <n v="18000"/>
    <n v="9000"/>
    <x v="0"/>
    <x v="0"/>
    <n v="900"/>
    <x v="0"/>
    <x v="0"/>
    <x v="1"/>
    <n v="2025"/>
    <x v="4"/>
  </r>
  <r>
    <s v="B484"/>
    <s v="Swati Patel"/>
    <n v="30"/>
    <x v="1"/>
    <x v="2"/>
    <x v="1"/>
    <s v="19-06-2025"/>
    <s v="26-06-2025"/>
    <s v="29-06-2025"/>
    <x v="2"/>
    <n v="80000"/>
    <n v="2"/>
    <n v="160000"/>
    <n v="96000"/>
    <x v="0"/>
    <x v="3"/>
    <n v="19200"/>
    <x v="3"/>
    <x v="0"/>
    <x v="3"/>
    <n v="2025"/>
    <x v="0"/>
  </r>
  <r>
    <s v="B485"/>
    <s v="Anil Iyer"/>
    <n v="50"/>
    <x v="0"/>
    <x v="4"/>
    <x v="13"/>
    <s v="09-05-2025"/>
    <s v="18-05-2025"/>
    <s v="25-05-2025"/>
    <x v="4"/>
    <n v="70000"/>
    <n v="2"/>
    <n v="140000"/>
    <n v="84000"/>
    <x v="1"/>
    <x v="1"/>
    <n v="0"/>
    <x v="1"/>
    <x v="1"/>
    <x v="2"/>
    <n v="2025"/>
    <x v="5"/>
  </r>
  <r>
    <s v="B486"/>
    <s v="Ramesh Nair"/>
    <n v="29"/>
    <x v="0"/>
    <x v="1"/>
    <x v="11"/>
    <s v="19-05-2025"/>
    <s v="03-06-2025"/>
    <s v="12-06-2025"/>
    <x v="1"/>
    <n v="60000"/>
    <n v="2"/>
    <n v="120000"/>
    <n v="78000"/>
    <x v="1"/>
    <x v="1"/>
    <n v="0"/>
    <x v="1"/>
    <x v="1"/>
    <x v="2"/>
    <n v="2025"/>
    <x v="1"/>
  </r>
  <r>
    <s v="B487"/>
    <s v="Priya Joshi"/>
    <n v="36"/>
    <x v="1"/>
    <x v="0"/>
    <x v="6"/>
    <s v="30-03-2025"/>
    <s v="08-04-2025"/>
    <s v="12-04-2025"/>
    <x v="0"/>
    <n v="18000"/>
    <n v="1"/>
    <n v="18000"/>
    <n v="9000"/>
    <x v="0"/>
    <x v="0"/>
    <n v="900"/>
    <x v="0"/>
    <x v="0"/>
    <x v="6"/>
    <n v="2025"/>
    <x v="7"/>
  </r>
  <r>
    <s v="B488"/>
    <s v="Ramesh Pandey"/>
    <n v="33"/>
    <x v="0"/>
    <x v="3"/>
    <x v="11"/>
    <s v="08-01-2025"/>
    <s v="25-01-2025"/>
    <s v="01-02-2025"/>
    <x v="3"/>
    <n v="120000"/>
    <n v="4"/>
    <n v="480000"/>
    <n v="312000"/>
    <x v="0"/>
    <x v="4"/>
    <n v="72000"/>
    <x v="11"/>
    <x v="0"/>
    <x v="1"/>
    <n v="2025"/>
    <x v="0"/>
  </r>
  <r>
    <s v="B489"/>
    <s v="Ritika Nair"/>
    <n v="33"/>
    <x v="1"/>
    <x v="2"/>
    <x v="7"/>
    <s v="06-08-2025"/>
    <s v="04-09-2025"/>
    <s v="07-09-2025"/>
    <x v="2"/>
    <n v="80000"/>
    <n v="2"/>
    <n v="160000"/>
    <n v="96000"/>
    <x v="0"/>
    <x v="3"/>
    <n v="19200"/>
    <x v="3"/>
    <x v="0"/>
    <x v="5"/>
    <n v="2025"/>
    <x v="0"/>
  </r>
  <r>
    <s v="B490"/>
    <s v="Sameer Agarwal"/>
    <n v="41"/>
    <x v="0"/>
    <x v="1"/>
    <x v="2"/>
    <s v="15-03-2025"/>
    <s v="22-03-2025"/>
    <s v="31-03-2025"/>
    <x v="1"/>
    <n v="60000"/>
    <n v="4"/>
    <n v="240000"/>
    <n v="156000"/>
    <x v="1"/>
    <x v="1"/>
    <n v="0"/>
    <x v="1"/>
    <x v="1"/>
    <x v="6"/>
    <n v="2025"/>
    <x v="3"/>
  </r>
  <r>
    <s v="B491"/>
    <s v="Harsh Das"/>
    <n v="29"/>
    <x v="0"/>
    <x v="0"/>
    <x v="16"/>
    <s v="20-05-2025"/>
    <s v="02-06-2025"/>
    <s v="08-06-2025"/>
    <x v="0"/>
    <n v="18000"/>
    <n v="2"/>
    <n v="36000"/>
    <n v="18000"/>
    <x v="1"/>
    <x v="1"/>
    <n v="0"/>
    <x v="1"/>
    <x v="1"/>
    <x v="2"/>
    <n v="2025"/>
    <x v="1"/>
  </r>
  <r>
    <s v="B492"/>
    <s v="Anil Gupta"/>
    <n v="35"/>
    <x v="0"/>
    <x v="0"/>
    <x v="0"/>
    <s v="13-04-2025"/>
    <s v="02-05-2025"/>
    <s v="07-05-2025"/>
    <x v="0"/>
    <n v="18000"/>
    <n v="4"/>
    <n v="72000"/>
    <n v="36000"/>
    <x v="1"/>
    <x v="1"/>
    <n v="0"/>
    <x v="1"/>
    <x v="1"/>
    <x v="4"/>
    <n v="2025"/>
    <x v="7"/>
  </r>
  <r>
    <s v="B493"/>
    <s v="Ananya Sharma"/>
    <n v="53"/>
    <x v="1"/>
    <x v="0"/>
    <x v="19"/>
    <s v="01-01-2025"/>
    <s v="25-01-2025"/>
    <s v="03-02-2025"/>
    <x v="0"/>
    <n v="18000"/>
    <n v="4"/>
    <n v="72000"/>
    <n v="36000"/>
    <x v="0"/>
    <x v="0"/>
    <n v="3600"/>
    <x v="16"/>
    <x v="0"/>
    <x v="1"/>
    <n v="2025"/>
    <x v="5"/>
  </r>
  <r>
    <s v="B494"/>
    <s v="Deepak Mishra"/>
    <n v="32"/>
    <x v="0"/>
    <x v="4"/>
    <x v="1"/>
    <s v="09-07-2025"/>
    <s v="06-08-2025"/>
    <s v="16-08-2025"/>
    <x v="4"/>
    <n v="70000"/>
    <n v="1"/>
    <n v="70000"/>
    <n v="42000"/>
    <x v="1"/>
    <x v="1"/>
    <n v="0"/>
    <x v="1"/>
    <x v="1"/>
    <x v="0"/>
    <n v="2025"/>
    <x v="0"/>
  </r>
  <r>
    <s v="B495"/>
    <s v="Ananya Kulkarni"/>
    <n v="28"/>
    <x v="1"/>
    <x v="4"/>
    <x v="2"/>
    <s v="27-01-2025"/>
    <s v="13-02-2025"/>
    <s v="21-02-2025"/>
    <x v="4"/>
    <n v="70000"/>
    <n v="2"/>
    <n v="140000"/>
    <n v="84000"/>
    <x v="0"/>
    <x v="5"/>
    <n v="9800.0000000000018"/>
    <x v="7"/>
    <x v="0"/>
    <x v="1"/>
    <n v="2025"/>
    <x v="1"/>
  </r>
  <r>
    <s v="B496"/>
    <s v="Aditya Menon"/>
    <n v="18"/>
    <x v="0"/>
    <x v="4"/>
    <x v="10"/>
    <s v="31-07-2025"/>
    <s v="29-08-2025"/>
    <s v="04-09-2025"/>
    <x v="4"/>
    <n v="70000"/>
    <n v="1"/>
    <n v="70000"/>
    <n v="42000"/>
    <x v="0"/>
    <x v="5"/>
    <n v="4900.0000000000009"/>
    <x v="9"/>
    <x v="0"/>
    <x v="0"/>
    <n v="2025"/>
    <x v="8"/>
  </r>
  <r>
    <s v="B497"/>
    <s v="Rohan Gupta"/>
    <n v="21"/>
    <x v="0"/>
    <x v="3"/>
    <x v="2"/>
    <s v="30-03-2025"/>
    <s v="16-04-2025"/>
    <s v="26-04-2025"/>
    <x v="3"/>
    <n v="120000"/>
    <n v="1"/>
    <n v="120000"/>
    <n v="78000"/>
    <x v="1"/>
    <x v="1"/>
    <n v="0"/>
    <x v="1"/>
    <x v="1"/>
    <x v="6"/>
    <n v="2025"/>
    <x v="6"/>
  </r>
  <r>
    <s v="B498"/>
    <s v="Ritika Joshi"/>
    <n v="43"/>
    <x v="1"/>
    <x v="1"/>
    <x v="13"/>
    <s v="22-01-2025"/>
    <s v="03-02-2025"/>
    <s v="08-02-2025"/>
    <x v="1"/>
    <n v="60000"/>
    <n v="2"/>
    <n v="120000"/>
    <n v="78000"/>
    <x v="0"/>
    <x v="2"/>
    <n v="12000"/>
    <x v="6"/>
    <x v="0"/>
    <x v="1"/>
    <n v="2025"/>
    <x v="3"/>
  </r>
  <r>
    <s v="B499"/>
    <s v="Isha Sharma"/>
    <n v="24"/>
    <x v="1"/>
    <x v="0"/>
    <x v="15"/>
    <s v="27-02-2025"/>
    <s v="20-03-2025"/>
    <s v="30-03-2025"/>
    <x v="0"/>
    <n v="18000"/>
    <n v="2"/>
    <n v="36000"/>
    <n v="18000"/>
    <x v="1"/>
    <x v="1"/>
    <n v="0"/>
    <x v="1"/>
    <x v="1"/>
    <x v="7"/>
    <n v="2025"/>
    <x v="6"/>
  </r>
  <r>
    <s v="B500"/>
    <s v="Meera Reddy"/>
    <n v="35"/>
    <x v="1"/>
    <x v="1"/>
    <x v="10"/>
    <s v="11-08-2025"/>
    <s v="16-08-2025"/>
    <s v="21-08-2025"/>
    <x v="1"/>
    <n v="60000"/>
    <n v="3"/>
    <n v="180000"/>
    <n v="117000"/>
    <x v="1"/>
    <x v="1"/>
    <n v="0"/>
    <x v="1"/>
    <x v="1"/>
    <x v="5"/>
    <n v="2025"/>
    <x v="7"/>
  </r>
  <r>
    <s v="B501"/>
    <s v="Aarohi Khan"/>
    <n v="54"/>
    <x v="1"/>
    <x v="1"/>
    <x v="1"/>
    <s v="17-08-2025"/>
    <s v="10-09-2025"/>
    <s v="14-09-2025"/>
    <x v="1"/>
    <n v="60000"/>
    <n v="1"/>
    <n v="60000"/>
    <n v="39000"/>
    <x v="0"/>
    <x v="2"/>
    <n v="6000"/>
    <x v="15"/>
    <x v="0"/>
    <x v="5"/>
    <n v="2025"/>
    <x v="5"/>
  </r>
  <r>
    <s v="B502"/>
    <s v="Karan Khan"/>
    <n v="31"/>
    <x v="0"/>
    <x v="3"/>
    <x v="11"/>
    <s v="12-06-2025"/>
    <s v="02-07-2025"/>
    <s v="08-07-2025"/>
    <x v="3"/>
    <n v="120000"/>
    <n v="1"/>
    <n v="120000"/>
    <n v="78000"/>
    <x v="0"/>
    <x v="4"/>
    <n v="18000"/>
    <x v="4"/>
    <x v="0"/>
    <x v="3"/>
    <n v="2025"/>
    <x v="0"/>
  </r>
  <r>
    <s v="B503"/>
    <s v="Pooja Kapoor"/>
    <n v="27"/>
    <x v="1"/>
    <x v="2"/>
    <x v="2"/>
    <s v="16-06-2025"/>
    <s v="22-06-2025"/>
    <s v="02-07-2025"/>
    <x v="2"/>
    <n v="80000"/>
    <n v="2"/>
    <n v="160000"/>
    <n v="96000"/>
    <x v="1"/>
    <x v="1"/>
    <n v="0"/>
    <x v="1"/>
    <x v="1"/>
    <x v="3"/>
    <n v="2025"/>
    <x v="1"/>
  </r>
  <r>
    <s v="B504"/>
    <s v="Meera Kulkarni"/>
    <n v="25"/>
    <x v="1"/>
    <x v="2"/>
    <x v="4"/>
    <s v="18-03-2025"/>
    <s v="11-04-2025"/>
    <s v="17-04-2025"/>
    <x v="2"/>
    <n v="80000"/>
    <n v="2"/>
    <n v="160000"/>
    <n v="96000"/>
    <x v="0"/>
    <x v="3"/>
    <n v="19200"/>
    <x v="3"/>
    <x v="0"/>
    <x v="6"/>
    <n v="2025"/>
    <x v="1"/>
  </r>
  <r>
    <s v="B505"/>
    <s v="Rahul Das"/>
    <n v="51"/>
    <x v="0"/>
    <x v="4"/>
    <x v="10"/>
    <s v="18-07-2025"/>
    <s v="10-08-2025"/>
    <s v="18-08-2025"/>
    <x v="4"/>
    <n v="70000"/>
    <n v="1"/>
    <n v="70000"/>
    <n v="42000"/>
    <x v="0"/>
    <x v="5"/>
    <n v="4900.0000000000009"/>
    <x v="9"/>
    <x v="0"/>
    <x v="0"/>
    <n v="2025"/>
    <x v="5"/>
  </r>
  <r>
    <s v="B506"/>
    <s v="Pooja Kulkarni"/>
    <n v="37"/>
    <x v="1"/>
    <x v="3"/>
    <x v="8"/>
    <s v="11-01-2025"/>
    <s v="28-01-2025"/>
    <s v="03-02-2025"/>
    <x v="3"/>
    <n v="120000"/>
    <n v="2"/>
    <n v="240000"/>
    <n v="156000"/>
    <x v="0"/>
    <x v="4"/>
    <n v="36000"/>
    <x v="8"/>
    <x v="0"/>
    <x v="1"/>
    <n v="2025"/>
    <x v="7"/>
  </r>
  <r>
    <s v="B507"/>
    <s v="Nikhil Mishra"/>
    <n v="41"/>
    <x v="0"/>
    <x v="4"/>
    <x v="7"/>
    <s v="30-01-2025"/>
    <s v="09-02-2025"/>
    <s v="14-02-2025"/>
    <x v="4"/>
    <n v="70000"/>
    <n v="1"/>
    <n v="70000"/>
    <n v="42000"/>
    <x v="0"/>
    <x v="5"/>
    <n v="4900.0000000000009"/>
    <x v="9"/>
    <x v="0"/>
    <x v="1"/>
    <n v="2025"/>
    <x v="3"/>
  </r>
  <r>
    <s v="B508"/>
    <s v="Siddharth Gupta"/>
    <n v="53"/>
    <x v="0"/>
    <x v="0"/>
    <x v="13"/>
    <s v="15-07-2025"/>
    <s v="24-07-2025"/>
    <s v="27-07-2025"/>
    <x v="0"/>
    <n v="18000"/>
    <n v="2"/>
    <n v="36000"/>
    <n v="18000"/>
    <x v="1"/>
    <x v="1"/>
    <n v="0"/>
    <x v="1"/>
    <x v="1"/>
    <x v="0"/>
    <n v="2025"/>
    <x v="5"/>
  </r>
  <r>
    <s v="B509"/>
    <s v="Rohan Jain"/>
    <n v="20"/>
    <x v="0"/>
    <x v="0"/>
    <x v="0"/>
    <s v="31-01-2025"/>
    <s v="13-02-2025"/>
    <s v="21-02-2025"/>
    <x v="0"/>
    <n v="18000"/>
    <n v="3"/>
    <n v="54000"/>
    <n v="27000"/>
    <x v="1"/>
    <x v="1"/>
    <n v="0"/>
    <x v="1"/>
    <x v="1"/>
    <x v="1"/>
    <n v="2025"/>
    <x v="6"/>
  </r>
  <r>
    <s v="B510"/>
    <s v="Harsh Iyer"/>
    <n v="55"/>
    <x v="0"/>
    <x v="0"/>
    <x v="16"/>
    <s v="11-03-2025"/>
    <s v="24-03-2025"/>
    <s v="28-03-2025"/>
    <x v="0"/>
    <n v="18000"/>
    <n v="1"/>
    <n v="18000"/>
    <n v="9000"/>
    <x v="1"/>
    <x v="1"/>
    <n v="0"/>
    <x v="1"/>
    <x v="1"/>
    <x v="6"/>
    <n v="2025"/>
    <x v="4"/>
  </r>
  <r>
    <s v="B511"/>
    <s v="Deepak Reddy"/>
    <n v="23"/>
    <x v="0"/>
    <x v="4"/>
    <x v="0"/>
    <s v="23-06-2025"/>
    <s v="04-07-2025"/>
    <s v="10-07-2025"/>
    <x v="4"/>
    <n v="70000"/>
    <n v="1"/>
    <n v="70000"/>
    <n v="42000"/>
    <x v="1"/>
    <x v="1"/>
    <n v="0"/>
    <x v="1"/>
    <x v="1"/>
    <x v="3"/>
    <n v="2025"/>
    <x v="6"/>
  </r>
  <r>
    <s v="B512"/>
    <s v="Aarav Menon"/>
    <n v="50"/>
    <x v="0"/>
    <x v="1"/>
    <x v="8"/>
    <s v="24-02-2025"/>
    <s v="13-03-2025"/>
    <s v="21-03-2025"/>
    <x v="1"/>
    <n v="60000"/>
    <n v="2"/>
    <n v="120000"/>
    <n v="78000"/>
    <x v="1"/>
    <x v="1"/>
    <n v="0"/>
    <x v="1"/>
    <x v="1"/>
    <x v="7"/>
    <n v="2025"/>
    <x v="5"/>
  </r>
  <r>
    <s v="B513"/>
    <s v="Sunita Gupta"/>
    <n v="49"/>
    <x v="1"/>
    <x v="0"/>
    <x v="17"/>
    <s v="03-03-2025"/>
    <s v="17-03-2025"/>
    <s v="26-03-2025"/>
    <x v="0"/>
    <n v="18000"/>
    <n v="2"/>
    <n v="36000"/>
    <n v="18000"/>
    <x v="0"/>
    <x v="0"/>
    <n v="1800"/>
    <x v="14"/>
    <x v="0"/>
    <x v="6"/>
    <n v="2025"/>
    <x v="2"/>
  </r>
  <r>
    <s v="B514"/>
    <s v="Shreya Pandey"/>
    <n v="46"/>
    <x v="1"/>
    <x v="3"/>
    <x v="2"/>
    <s v="25-02-2025"/>
    <s v="02-03-2025"/>
    <s v="07-03-2025"/>
    <x v="3"/>
    <n v="120000"/>
    <n v="2"/>
    <n v="240000"/>
    <n v="156000"/>
    <x v="0"/>
    <x v="4"/>
    <n v="36000"/>
    <x v="8"/>
    <x v="0"/>
    <x v="7"/>
    <n v="2025"/>
    <x v="2"/>
  </r>
  <r>
    <s v="B515"/>
    <s v="Nisha Sharma"/>
    <n v="21"/>
    <x v="1"/>
    <x v="0"/>
    <x v="13"/>
    <s v="28-01-2025"/>
    <s v="10-02-2025"/>
    <s v="13-02-2025"/>
    <x v="0"/>
    <n v="18000"/>
    <n v="4"/>
    <n v="72000"/>
    <n v="36000"/>
    <x v="0"/>
    <x v="0"/>
    <n v="3600"/>
    <x v="16"/>
    <x v="0"/>
    <x v="1"/>
    <n v="2025"/>
    <x v="6"/>
  </r>
  <r>
    <s v="B516"/>
    <s v="Ramesh Das"/>
    <n v="57"/>
    <x v="0"/>
    <x v="0"/>
    <x v="0"/>
    <s v="20-01-2025"/>
    <s v="11-02-2025"/>
    <s v="14-02-2025"/>
    <x v="0"/>
    <n v="18000"/>
    <n v="4"/>
    <n v="72000"/>
    <n v="36000"/>
    <x v="1"/>
    <x v="1"/>
    <n v="0"/>
    <x v="1"/>
    <x v="1"/>
    <x v="1"/>
    <n v="2025"/>
    <x v="4"/>
  </r>
  <r>
    <s v="B517"/>
    <s v="Shreya Sharma"/>
    <n v="40"/>
    <x v="1"/>
    <x v="3"/>
    <x v="8"/>
    <s v="11-06-2025"/>
    <s v="27-06-2025"/>
    <s v="02-07-2025"/>
    <x v="3"/>
    <n v="120000"/>
    <n v="3"/>
    <n v="360000"/>
    <n v="234000"/>
    <x v="1"/>
    <x v="1"/>
    <n v="0"/>
    <x v="1"/>
    <x v="1"/>
    <x v="3"/>
    <n v="2025"/>
    <x v="3"/>
  </r>
  <r>
    <s v="B518"/>
    <s v="Diya Kulkarni"/>
    <n v="24"/>
    <x v="1"/>
    <x v="2"/>
    <x v="11"/>
    <s v="11-04-2025"/>
    <s v="23-04-2025"/>
    <s v="26-04-2025"/>
    <x v="2"/>
    <n v="80000"/>
    <n v="3"/>
    <n v="240000"/>
    <n v="144000"/>
    <x v="1"/>
    <x v="1"/>
    <n v="0"/>
    <x v="1"/>
    <x v="1"/>
    <x v="4"/>
    <n v="2025"/>
    <x v="6"/>
  </r>
  <r>
    <s v="B519"/>
    <s v="Aarohi Das"/>
    <n v="58"/>
    <x v="1"/>
    <x v="3"/>
    <x v="9"/>
    <s v="04-02-2025"/>
    <s v="09-02-2025"/>
    <s v="14-02-2025"/>
    <x v="3"/>
    <n v="120000"/>
    <n v="1"/>
    <n v="120000"/>
    <n v="78000"/>
    <x v="0"/>
    <x v="4"/>
    <n v="18000"/>
    <x v="4"/>
    <x v="0"/>
    <x v="7"/>
    <n v="2025"/>
    <x v="4"/>
  </r>
  <r>
    <s v="B520"/>
    <s v="Aarav Das"/>
    <n v="24"/>
    <x v="0"/>
    <x v="3"/>
    <x v="8"/>
    <s v="14-01-2025"/>
    <s v="05-02-2025"/>
    <s v="12-02-2025"/>
    <x v="3"/>
    <n v="120000"/>
    <n v="4"/>
    <n v="480000"/>
    <n v="312000"/>
    <x v="0"/>
    <x v="4"/>
    <n v="72000"/>
    <x v="11"/>
    <x v="0"/>
    <x v="1"/>
    <n v="2025"/>
    <x v="6"/>
  </r>
  <r>
    <s v="B521"/>
    <s v="Karan Nair"/>
    <n v="18"/>
    <x v="0"/>
    <x v="4"/>
    <x v="2"/>
    <s v="22-02-2025"/>
    <s v="28-02-2025"/>
    <s v="07-03-2025"/>
    <x v="4"/>
    <n v="70000"/>
    <n v="1"/>
    <n v="70000"/>
    <n v="42000"/>
    <x v="0"/>
    <x v="5"/>
    <n v="4900.0000000000009"/>
    <x v="9"/>
    <x v="0"/>
    <x v="7"/>
    <n v="2025"/>
    <x v="8"/>
  </r>
  <r>
    <s v="B522"/>
    <s v="Priya Patel"/>
    <n v="31"/>
    <x v="1"/>
    <x v="2"/>
    <x v="5"/>
    <s v="03-01-2025"/>
    <s v="17-01-2025"/>
    <s v="21-01-2025"/>
    <x v="2"/>
    <n v="80000"/>
    <n v="2"/>
    <n v="160000"/>
    <n v="96000"/>
    <x v="0"/>
    <x v="3"/>
    <n v="19200"/>
    <x v="3"/>
    <x v="0"/>
    <x v="1"/>
    <n v="2025"/>
    <x v="0"/>
  </r>
  <r>
    <s v="B523"/>
    <s v="Diya Agarwal"/>
    <n v="39"/>
    <x v="1"/>
    <x v="0"/>
    <x v="0"/>
    <s v="17-07-2025"/>
    <s v="30-07-2025"/>
    <s v="09-08-2025"/>
    <x v="0"/>
    <n v="18000"/>
    <n v="1"/>
    <n v="18000"/>
    <n v="9000"/>
    <x v="0"/>
    <x v="0"/>
    <n v="900"/>
    <x v="0"/>
    <x v="0"/>
    <x v="0"/>
    <n v="2025"/>
    <x v="7"/>
  </r>
  <r>
    <s v="B524"/>
    <s v="Shreya Nair"/>
    <n v="44"/>
    <x v="1"/>
    <x v="1"/>
    <x v="8"/>
    <s v="25-07-2025"/>
    <s v="22-08-2025"/>
    <s v="28-08-2025"/>
    <x v="1"/>
    <n v="60000"/>
    <n v="2"/>
    <n v="120000"/>
    <n v="78000"/>
    <x v="0"/>
    <x v="2"/>
    <n v="12000"/>
    <x v="6"/>
    <x v="0"/>
    <x v="0"/>
    <n v="2025"/>
    <x v="3"/>
  </r>
  <r>
    <s v="B525"/>
    <s v="Priya Gupta"/>
    <n v="32"/>
    <x v="1"/>
    <x v="2"/>
    <x v="8"/>
    <s v="22-08-2025"/>
    <s v="18-09-2025"/>
    <s v="23-09-2025"/>
    <x v="2"/>
    <n v="80000"/>
    <n v="2"/>
    <n v="160000"/>
    <n v="96000"/>
    <x v="0"/>
    <x v="3"/>
    <n v="19200"/>
    <x v="3"/>
    <x v="0"/>
    <x v="5"/>
    <n v="2025"/>
    <x v="0"/>
  </r>
  <r>
    <s v="B526"/>
    <s v="Meera Chowdhury"/>
    <n v="24"/>
    <x v="1"/>
    <x v="2"/>
    <x v="11"/>
    <s v="22-03-2025"/>
    <s v="10-04-2025"/>
    <s v="20-04-2025"/>
    <x v="2"/>
    <n v="80000"/>
    <n v="2"/>
    <n v="160000"/>
    <n v="96000"/>
    <x v="1"/>
    <x v="1"/>
    <n v="0"/>
    <x v="1"/>
    <x v="1"/>
    <x v="6"/>
    <n v="2025"/>
    <x v="6"/>
  </r>
  <r>
    <s v="B527"/>
    <s v="Pooja Iyer"/>
    <n v="26"/>
    <x v="1"/>
    <x v="2"/>
    <x v="13"/>
    <s v="27-02-2025"/>
    <s v="06-03-2025"/>
    <s v="14-03-2025"/>
    <x v="2"/>
    <n v="80000"/>
    <n v="2"/>
    <n v="160000"/>
    <n v="96000"/>
    <x v="0"/>
    <x v="3"/>
    <n v="19200"/>
    <x v="3"/>
    <x v="0"/>
    <x v="7"/>
    <n v="2025"/>
    <x v="1"/>
  </r>
  <r>
    <s v="B528"/>
    <s v="Rohan Khan"/>
    <n v="25"/>
    <x v="0"/>
    <x v="2"/>
    <x v="13"/>
    <s v="21-08-2025"/>
    <s v="26-08-2025"/>
    <s v="29-08-2025"/>
    <x v="2"/>
    <n v="80000"/>
    <n v="2"/>
    <n v="160000"/>
    <n v="96000"/>
    <x v="0"/>
    <x v="3"/>
    <n v="19200"/>
    <x v="3"/>
    <x v="0"/>
    <x v="5"/>
    <n v="2025"/>
    <x v="1"/>
  </r>
  <r>
    <s v="B529"/>
    <s v="Aditya Nair"/>
    <n v="60"/>
    <x v="0"/>
    <x v="3"/>
    <x v="8"/>
    <s v="04-07-2025"/>
    <s v="23-07-2025"/>
    <s v="31-07-2025"/>
    <x v="3"/>
    <n v="120000"/>
    <n v="3"/>
    <n v="360000"/>
    <n v="234000"/>
    <x v="0"/>
    <x v="4"/>
    <n v="54000"/>
    <x v="17"/>
    <x v="0"/>
    <x v="0"/>
    <n v="2025"/>
    <x v="9"/>
  </r>
  <r>
    <s v="B530"/>
    <s v="Suresh Jain"/>
    <n v="33"/>
    <x v="0"/>
    <x v="3"/>
    <x v="3"/>
    <s v="30-04-2025"/>
    <s v="20-05-2025"/>
    <s v="29-05-2025"/>
    <x v="3"/>
    <n v="120000"/>
    <n v="4"/>
    <n v="480000"/>
    <n v="312000"/>
    <x v="1"/>
    <x v="1"/>
    <n v="0"/>
    <x v="1"/>
    <x v="1"/>
    <x v="4"/>
    <n v="2025"/>
    <x v="0"/>
  </r>
  <r>
    <s v="B531"/>
    <s v="Sanya Tripathi"/>
    <n v="41"/>
    <x v="1"/>
    <x v="4"/>
    <x v="4"/>
    <s v="07-06-2025"/>
    <s v="06-07-2025"/>
    <s v="15-07-2025"/>
    <x v="4"/>
    <n v="70000"/>
    <n v="3"/>
    <n v="210000"/>
    <n v="126000"/>
    <x v="1"/>
    <x v="1"/>
    <n v="0"/>
    <x v="1"/>
    <x v="1"/>
    <x v="3"/>
    <n v="2025"/>
    <x v="3"/>
  </r>
  <r>
    <s v="B532"/>
    <s v="Ramesh Reddy"/>
    <n v="57"/>
    <x v="0"/>
    <x v="0"/>
    <x v="13"/>
    <s v="14-07-2025"/>
    <s v="10-08-2025"/>
    <s v="16-08-2025"/>
    <x v="0"/>
    <n v="18000"/>
    <n v="2"/>
    <n v="36000"/>
    <n v="18000"/>
    <x v="1"/>
    <x v="1"/>
    <n v="0"/>
    <x v="1"/>
    <x v="1"/>
    <x v="0"/>
    <n v="2025"/>
    <x v="4"/>
  </r>
  <r>
    <s v="B533"/>
    <s v="Pranav Chowdhury"/>
    <n v="47"/>
    <x v="0"/>
    <x v="0"/>
    <x v="13"/>
    <s v="19-06-2025"/>
    <s v="13-07-2025"/>
    <s v="19-07-2025"/>
    <x v="0"/>
    <n v="18000"/>
    <n v="2"/>
    <n v="36000"/>
    <n v="18000"/>
    <x v="0"/>
    <x v="0"/>
    <n v="1800"/>
    <x v="14"/>
    <x v="0"/>
    <x v="3"/>
    <n v="2025"/>
    <x v="2"/>
  </r>
  <r>
    <s v="B534"/>
    <s v="Pranav Nair"/>
    <n v="44"/>
    <x v="0"/>
    <x v="0"/>
    <x v="19"/>
    <s v="10-07-2025"/>
    <s v="18-07-2025"/>
    <s v="22-07-2025"/>
    <x v="0"/>
    <n v="18000"/>
    <n v="4"/>
    <n v="72000"/>
    <n v="36000"/>
    <x v="0"/>
    <x v="0"/>
    <n v="3600"/>
    <x v="16"/>
    <x v="0"/>
    <x v="0"/>
    <n v="2025"/>
    <x v="3"/>
  </r>
  <r>
    <s v="B535"/>
    <s v="Shreya Menon"/>
    <n v="20"/>
    <x v="1"/>
    <x v="4"/>
    <x v="0"/>
    <s v="13-08-2025"/>
    <s v="03-09-2025"/>
    <s v="11-09-2025"/>
    <x v="4"/>
    <n v="70000"/>
    <n v="2"/>
    <n v="140000"/>
    <n v="84000"/>
    <x v="0"/>
    <x v="5"/>
    <n v="9800.0000000000018"/>
    <x v="7"/>
    <x v="0"/>
    <x v="5"/>
    <n v="2025"/>
    <x v="6"/>
  </r>
  <r>
    <s v="B536"/>
    <s v="Vikas Mishra"/>
    <n v="28"/>
    <x v="0"/>
    <x v="2"/>
    <x v="13"/>
    <s v="01-06-2025"/>
    <s v="28-06-2025"/>
    <s v="06-07-2025"/>
    <x v="2"/>
    <n v="80000"/>
    <n v="2"/>
    <n v="160000"/>
    <n v="96000"/>
    <x v="1"/>
    <x v="1"/>
    <n v="0"/>
    <x v="1"/>
    <x v="1"/>
    <x v="3"/>
    <n v="2025"/>
    <x v="1"/>
  </r>
  <r>
    <s v="B537"/>
    <s v="Payal Bose"/>
    <n v="59"/>
    <x v="1"/>
    <x v="1"/>
    <x v="8"/>
    <s v="17-01-2025"/>
    <s v="24-01-2025"/>
    <s v="28-01-2025"/>
    <x v="1"/>
    <n v="60000"/>
    <n v="2"/>
    <n v="120000"/>
    <n v="78000"/>
    <x v="0"/>
    <x v="2"/>
    <n v="12000"/>
    <x v="6"/>
    <x v="0"/>
    <x v="1"/>
    <n v="2025"/>
    <x v="4"/>
  </r>
  <r>
    <s v="B538"/>
    <s v="Ritika Reddy"/>
    <n v="18"/>
    <x v="1"/>
    <x v="3"/>
    <x v="1"/>
    <s v="11-07-2025"/>
    <s v="25-07-2025"/>
    <s v="01-08-2025"/>
    <x v="3"/>
    <n v="120000"/>
    <n v="2"/>
    <n v="240000"/>
    <n v="156000"/>
    <x v="0"/>
    <x v="4"/>
    <n v="36000"/>
    <x v="8"/>
    <x v="0"/>
    <x v="0"/>
    <n v="2025"/>
    <x v="8"/>
  </r>
  <r>
    <s v="B539"/>
    <s v="Krishna Tripathi"/>
    <n v="43"/>
    <x v="0"/>
    <x v="3"/>
    <x v="11"/>
    <s v="25-07-2025"/>
    <s v="16-08-2025"/>
    <s v="24-08-2025"/>
    <x v="3"/>
    <n v="120000"/>
    <n v="3"/>
    <n v="360000"/>
    <n v="234000"/>
    <x v="0"/>
    <x v="4"/>
    <n v="54000"/>
    <x v="17"/>
    <x v="0"/>
    <x v="0"/>
    <n v="2025"/>
    <x v="3"/>
  </r>
  <r>
    <s v="B540"/>
    <s v="Sunita Patel"/>
    <n v="28"/>
    <x v="1"/>
    <x v="1"/>
    <x v="7"/>
    <s v="10-07-2025"/>
    <s v="22-07-2025"/>
    <s v="30-07-2025"/>
    <x v="1"/>
    <n v="60000"/>
    <n v="2"/>
    <n v="120000"/>
    <n v="78000"/>
    <x v="1"/>
    <x v="1"/>
    <n v="0"/>
    <x v="1"/>
    <x v="1"/>
    <x v="0"/>
    <n v="2025"/>
    <x v="1"/>
  </r>
  <r>
    <s v="B541"/>
    <s v="Aditi Gupta"/>
    <n v="41"/>
    <x v="1"/>
    <x v="3"/>
    <x v="11"/>
    <s v="19-06-2025"/>
    <s v="19-07-2025"/>
    <s v="25-07-2025"/>
    <x v="3"/>
    <n v="120000"/>
    <n v="2"/>
    <n v="240000"/>
    <n v="156000"/>
    <x v="0"/>
    <x v="4"/>
    <n v="36000"/>
    <x v="8"/>
    <x v="0"/>
    <x v="3"/>
    <n v="2025"/>
    <x v="3"/>
  </r>
  <r>
    <s v="B542"/>
    <s v="Harsh Reddy"/>
    <n v="31"/>
    <x v="0"/>
    <x v="2"/>
    <x v="2"/>
    <s v="01-01-2025"/>
    <s v="24-01-2025"/>
    <s v="27-01-2025"/>
    <x v="2"/>
    <n v="80000"/>
    <n v="2"/>
    <n v="160000"/>
    <n v="96000"/>
    <x v="1"/>
    <x v="1"/>
    <n v="0"/>
    <x v="1"/>
    <x v="1"/>
    <x v="1"/>
    <n v="2025"/>
    <x v="0"/>
  </r>
  <r>
    <s v="B543"/>
    <s v="Karan Shetty"/>
    <n v="41"/>
    <x v="0"/>
    <x v="3"/>
    <x v="10"/>
    <s v="04-04-2025"/>
    <s v="12-04-2025"/>
    <s v="17-04-2025"/>
    <x v="3"/>
    <n v="120000"/>
    <n v="4"/>
    <n v="480000"/>
    <n v="312000"/>
    <x v="1"/>
    <x v="1"/>
    <n v="0"/>
    <x v="1"/>
    <x v="1"/>
    <x v="4"/>
    <n v="2025"/>
    <x v="3"/>
  </r>
  <r>
    <s v="B544"/>
    <s v="Ritika Patel"/>
    <n v="28"/>
    <x v="1"/>
    <x v="2"/>
    <x v="7"/>
    <s v="28-05-2025"/>
    <s v="11-06-2025"/>
    <s v="15-06-2025"/>
    <x v="2"/>
    <n v="80000"/>
    <n v="2"/>
    <n v="160000"/>
    <n v="96000"/>
    <x v="1"/>
    <x v="1"/>
    <n v="0"/>
    <x v="1"/>
    <x v="1"/>
    <x v="2"/>
    <n v="2025"/>
    <x v="1"/>
  </r>
  <r>
    <s v="B545"/>
    <s v="Manish Patel"/>
    <n v="20"/>
    <x v="0"/>
    <x v="4"/>
    <x v="8"/>
    <s v="11-05-2025"/>
    <s v="31-05-2025"/>
    <s v="05-06-2025"/>
    <x v="4"/>
    <n v="70000"/>
    <n v="2"/>
    <n v="140000"/>
    <n v="84000"/>
    <x v="0"/>
    <x v="5"/>
    <n v="9800.0000000000018"/>
    <x v="7"/>
    <x v="0"/>
    <x v="2"/>
    <n v="2025"/>
    <x v="6"/>
  </r>
  <r>
    <s v="B546"/>
    <s v="Arjun Menon"/>
    <n v="50"/>
    <x v="0"/>
    <x v="0"/>
    <x v="15"/>
    <s v="11-04-2025"/>
    <s v="04-05-2025"/>
    <s v="13-05-2025"/>
    <x v="0"/>
    <n v="18000"/>
    <n v="4"/>
    <n v="72000"/>
    <n v="36000"/>
    <x v="1"/>
    <x v="1"/>
    <n v="0"/>
    <x v="1"/>
    <x v="1"/>
    <x v="4"/>
    <n v="2025"/>
    <x v="5"/>
  </r>
  <r>
    <s v="B547"/>
    <s v="Aarohi Sharma"/>
    <n v="36"/>
    <x v="1"/>
    <x v="1"/>
    <x v="8"/>
    <s v="02-06-2025"/>
    <s v="10-06-2025"/>
    <s v="14-06-2025"/>
    <x v="1"/>
    <n v="60000"/>
    <n v="1"/>
    <n v="60000"/>
    <n v="39000"/>
    <x v="0"/>
    <x v="2"/>
    <n v="6000"/>
    <x v="15"/>
    <x v="0"/>
    <x v="3"/>
    <n v="2025"/>
    <x v="7"/>
  </r>
  <r>
    <s v="B548"/>
    <s v="Swati Reddy"/>
    <n v="31"/>
    <x v="1"/>
    <x v="2"/>
    <x v="5"/>
    <s v="13-05-2025"/>
    <s v="06-06-2025"/>
    <s v="13-06-2025"/>
    <x v="2"/>
    <n v="80000"/>
    <n v="2"/>
    <n v="160000"/>
    <n v="96000"/>
    <x v="0"/>
    <x v="3"/>
    <n v="19200"/>
    <x v="3"/>
    <x v="0"/>
    <x v="2"/>
    <n v="2025"/>
    <x v="0"/>
  </r>
  <r>
    <s v="B549"/>
    <s v="Suresh Joshi"/>
    <n v="34"/>
    <x v="0"/>
    <x v="0"/>
    <x v="4"/>
    <s v="25-06-2025"/>
    <s v="07-07-2025"/>
    <s v="13-07-2025"/>
    <x v="0"/>
    <n v="18000"/>
    <n v="3"/>
    <n v="54000"/>
    <n v="27000"/>
    <x v="0"/>
    <x v="0"/>
    <n v="2700"/>
    <x v="5"/>
    <x v="0"/>
    <x v="3"/>
    <n v="2025"/>
    <x v="0"/>
  </r>
  <r>
    <s v="B550"/>
    <s v="Swati Menon"/>
    <n v="23"/>
    <x v="1"/>
    <x v="0"/>
    <x v="19"/>
    <s v="25-07-2025"/>
    <s v="09-08-2025"/>
    <s v="18-08-2025"/>
    <x v="0"/>
    <n v="18000"/>
    <n v="1"/>
    <n v="18000"/>
    <n v="9000"/>
    <x v="0"/>
    <x v="0"/>
    <n v="900"/>
    <x v="0"/>
    <x v="0"/>
    <x v="0"/>
    <n v="2025"/>
    <x v="6"/>
  </r>
  <r>
    <s v="B551"/>
    <s v="Sameer Iyer"/>
    <n v="29"/>
    <x v="0"/>
    <x v="1"/>
    <x v="7"/>
    <s v="28-01-2025"/>
    <s v="12-02-2025"/>
    <s v="19-02-2025"/>
    <x v="1"/>
    <n v="60000"/>
    <n v="3"/>
    <n v="180000"/>
    <n v="117000"/>
    <x v="0"/>
    <x v="2"/>
    <n v="18000"/>
    <x v="12"/>
    <x v="0"/>
    <x v="1"/>
    <n v="2025"/>
    <x v="1"/>
  </r>
  <r>
    <s v="B552"/>
    <s v="Siddharth Tripathi"/>
    <n v="46"/>
    <x v="0"/>
    <x v="4"/>
    <x v="0"/>
    <s v="22-08-2025"/>
    <s v="15-09-2025"/>
    <s v="21-09-2025"/>
    <x v="4"/>
    <n v="70000"/>
    <n v="4"/>
    <n v="280000"/>
    <n v="168000"/>
    <x v="1"/>
    <x v="1"/>
    <n v="0"/>
    <x v="1"/>
    <x v="1"/>
    <x v="5"/>
    <n v="2025"/>
    <x v="2"/>
  </r>
  <r>
    <s v="B553"/>
    <s v="Sunita Kapoor"/>
    <n v="27"/>
    <x v="1"/>
    <x v="1"/>
    <x v="4"/>
    <s v="06-04-2025"/>
    <s v="06-05-2025"/>
    <s v="09-05-2025"/>
    <x v="1"/>
    <n v="60000"/>
    <n v="2"/>
    <n v="120000"/>
    <n v="78000"/>
    <x v="0"/>
    <x v="2"/>
    <n v="12000"/>
    <x v="6"/>
    <x v="0"/>
    <x v="4"/>
    <n v="2025"/>
    <x v="1"/>
  </r>
  <r>
    <s v="B554"/>
    <s v="Ritika Kapoor"/>
    <n v="22"/>
    <x v="1"/>
    <x v="0"/>
    <x v="13"/>
    <s v="18-08-2025"/>
    <s v="08-09-2025"/>
    <s v="11-09-2025"/>
    <x v="0"/>
    <n v="18000"/>
    <n v="2"/>
    <n v="36000"/>
    <n v="18000"/>
    <x v="0"/>
    <x v="0"/>
    <n v="1800"/>
    <x v="14"/>
    <x v="0"/>
    <x v="5"/>
    <n v="2025"/>
    <x v="6"/>
  </r>
  <r>
    <s v="B555"/>
    <s v="Krishna Chowdhury"/>
    <n v="32"/>
    <x v="0"/>
    <x v="4"/>
    <x v="0"/>
    <s v="18-08-2025"/>
    <s v="04-09-2025"/>
    <s v="11-09-2025"/>
    <x v="4"/>
    <n v="70000"/>
    <n v="1"/>
    <n v="70000"/>
    <n v="42000"/>
    <x v="1"/>
    <x v="1"/>
    <n v="0"/>
    <x v="1"/>
    <x v="1"/>
    <x v="5"/>
    <n v="2025"/>
    <x v="0"/>
  </r>
  <r>
    <s v="B556"/>
    <s v="Nisha Menon"/>
    <n v="53"/>
    <x v="1"/>
    <x v="4"/>
    <x v="10"/>
    <s v="05-04-2025"/>
    <s v="30-04-2025"/>
    <s v="07-05-2025"/>
    <x v="4"/>
    <n v="70000"/>
    <n v="4"/>
    <n v="280000"/>
    <n v="168000"/>
    <x v="1"/>
    <x v="1"/>
    <n v="0"/>
    <x v="1"/>
    <x v="1"/>
    <x v="4"/>
    <n v="2025"/>
    <x v="5"/>
  </r>
  <r>
    <s v="B557"/>
    <s v="Manish Chowdhury"/>
    <n v="59"/>
    <x v="0"/>
    <x v="3"/>
    <x v="2"/>
    <s v="25-07-2025"/>
    <s v="22-08-2025"/>
    <s v="30-08-2025"/>
    <x v="3"/>
    <n v="120000"/>
    <n v="3"/>
    <n v="360000"/>
    <n v="234000"/>
    <x v="1"/>
    <x v="1"/>
    <n v="0"/>
    <x v="1"/>
    <x v="1"/>
    <x v="0"/>
    <n v="2025"/>
    <x v="4"/>
  </r>
  <r>
    <s v="B558"/>
    <s v="Suresh Chowdhury"/>
    <n v="24"/>
    <x v="0"/>
    <x v="4"/>
    <x v="7"/>
    <s v="26-06-2025"/>
    <s v="19-07-2025"/>
    <s v="23-07-2025"/>
    <x v="4"/>
    <n v="70000"/>
    <n v="4"/>
    <n v="280000"/>
    <n v="168000"/>
    <x v="1"/>
    <x v="1"/>
    <n v="0"/>
    <x v="1"/>
    <x v="1"/>
    <x v="3"/>
    <n v="2025"/>
    <x v="6"/>
  </r>
  <r>
    <s v="B559"/>
    <s v="Aarav Tripathi"/>
    <n v="30"/>
    <x v="0"/>
    <x v="2"/>
    <x v="11"/>
    <s v="12-03-2025"/>
    <s v="03-04-2025"/>
    <s v="06-04-2025"/>
    <x v="2"/>
    <n v="80000"/>
    <n v="2"/>
    <n v="160000"/>
    <n v="96000"/>
    <x v="0"/>
    <x v="3"/>
    <n v="19200"/>
    <x v="3"/>
    <x v="0"/>
    <x v="6"/>
    <n v="2025"/>
    <x v="0"/>
  </r>
  <r>
    <s v="B560"/>
    <s v="Neha Iyer"/>
    <n v="24"/>
    <x v="1"/>
    <x v="2"/>
    <x v="4"/>
    <s v="13-05-2025"/>
    <s v="06-06-2025"/>
    <s v="14-06-2025"/>
    <x v="2"/>
    <n v="80000"/>
    <n v="2"/>
    <n v="160000"/>
    <n v="96000"/>
    <x v="0"/>
    <x v="3"/>
    <n v="19200"/>
    <x v="3"/>
    <x v="0"/>
    <x v="2"/>
    <n v="2025"/>
    <x v="6"/>
  </r>
  <r>
    <s v="B561"/>
    <s v="Ritika Jain"/>
    <n v="37"/>
    <x v="1"/>
    <x v="3"/>
    <x v="2"/>
    <s v="11-01-2025"/>
    <s v="28-01-2025"/>
    <s v="04-02-2025"/>
    <x v="3"/>
    <n v="120000"/>
    <n v="2"/>
    <n v="240000"/>
    <n v="156000"/>
    <x v="1"/>
    <x v="1"/>
    <n v="0"/>
    <x v="1"/>
    <x v="1"/>
    <x v="1"/>
    <n v="2025"/>
    <x v="7"/>
  </r>
  <r>
    <s v="B562"/>
    <s v="Rahul Nair"/>
    <n v="33"/>
    <x v="0"/>
    <x v="4"/>
    <x v="11"/>
    <s v="03-04-2025"/>
    <s v="26-04-2025"/>
    <s v="05-05-2025"/>
    <x v="4"/>
    <n v="70000"/>
    <n v="2"/>
    <n v="140000"/>
    <n v="84000"/>
    <x v="1"/>
    <x v="1"/>
    <n v="0"/>
    <x v="1"/>
    <x v="1"/>
    <x v="4"/>
    <n v="2025"/>
    <x v="0"/>
  </r>
  <r>
    <s v="B563"/>
    <s v="Sanya Mishra"/>
    <n v="28"/>
    <x v="1"/>
    <x v="0"/>
    <x v="6"/>
    <s v="04-06-2025"/>
    <s v="10-06-2025"/>
    <s v="13-06-2025"/>
    <x v="0"/>
    <n v="18000"/>
    <n v="1"/>
    <n v="18000"/>
    <n v="9000"/>
    <x v="0"/>
    <x v="0"/>
    <n v="900"/>
    <x v="0"/>
    <x v="0"/>
    <x v="3"/>
    <n v="2025"/>
    <x v="1"/>
  </r>
  <r>
    <s v="B564"/>
    <s v="Deepak Agarwal"/>
    <n v="39"/>
    <x v="0"/>
    <x v="0"/>
    <x v="0"/>
    <s v="03-01-2025"/>
    <s v="29-01-2025"/>
    <s v="07-02-2025"/>
    <x v="0"/>
    <n v="18000"/>
    <n v="4"/>
    <n v="72000"/>
    <n v="36000"/>
    <x v="1"/>
    <x v="1"/>
    <n v="0"/>
    <x v="1"/>
    <x v="1"/>
    <x v="1"/>
    <n v="2025"/>
    <x v="7"/>
  </r>
  <r>
    <s v="B565"/>
    <s v="Swati Jain"/>
    <n v="53"/>
    <x v="1"/>
    <x v="0"/>
    <x v="15"/>
    <s v="21-03-2025"/>
    <s v="03-04-2025"/>
    <s v="06-04-2025"/>
    <x v="0"/>
    <n v="18000"/>
    <n v="2"/>
    <n v="36000"/>
    <n v="18000"/>
    <x v="0"/>
    <x v="0"/>
    <n v="1800"/>
    <x v="14"/>
    <x v="0"/>
    <x v="6"/>
    <n v="2025"/>
    <x v="5"/>
  </r>
  <r>
    <s v="B566"/>
    <s v="Rohan Mishra"/>
    <n v="50"/>
    <x v="0"/>
    <x v="3"/>
    <x v="8"/>
    <s v="02-05-2025"/>
    <s v="20-05-2025"/>
    <s v="23-05-2025"/>
    <x v="3"/>
    <n v="120000"/>
    <n v="2"/>
    <n v="240000"/>
    <n v="156000"/>
    <x v="0"/>
    <x v="4"/>
    <n v="36000"/>
    <x v="8"/>
    <x v="0"/>
    <x v="2"/>
    <n v="2025"/>
    <x v="5"/>
  </r>
  <r>
    <s v="B567"/>
    <s v="Payal Reddy"/>
    <n v="40"/>
    <x v="1"/>
    <x v="4"/>
    <x v="10"/>
    <s v="20-02-2025"/>
    <s v="07-03-2025"/>
    <s v="15-03-2025"/>
    <x v="4"/>
    <n v="70000"/>
    <n v="2"/>
    <n v="140000"/>
    <n v="84000"/>
    <x v="0"/>
    <x v="5"/>
    <n v="9800.0000000000018"/>
    <x v="7"/>
    <x v="0"/>
    <x v="7"/>
    <n v="2025"/>
    <x v="3"/>
  </r>
  <r>
    <s v="B568"/>
    <s v="Karan Gupta"/>
    <n v="22"/>
    <x v="0"/>
    <x v="1"/>
    <x v="0"/>
    <s v="24-02-2025"/>
    <s v="01-03-2025"/>
    <s v="11-03-2025"/>
    <x v="1"/>
    <n v="60000"/>
    <n v="4"/>
    <n v="240000"/>
    <n v="156000"/>
    <x v="0"/>
    <x v="2"/>
    <n v="24000"/>
    <x v="2"/>
    <x v="0"/>
    <x v="7"/>
    <n v="2025"/>
    <x v="6"/>
  </r>
  <r>
    <s v="B569"/>
    <s v="Shreya Kapoor"/>
    <n v="55"/>
    <x v="1"/>
    <x v="4"/>
    <x v="2"/>
    <s v="16-06-2025"/>
    <s v="29-06-2025"/>
    <s v="02-07-2025"/>
    <x v="4"/>
    <n v="70000"/>
    <n v="1"/>
    <n v="70000"/>
    <n v="42000"/>
    <x v="0"/>
    <x v="5"/>
    <n v="4900.0000000000009"/>
    <x v="9"/>
    <x v="0"/>
    <x v="3"/>
    <n v="2025"/>
    <x v="4"/>
  </r>
  <r>
    <s v="B570"/>
    <s v="Nikhil Khan"/>
    <n v="41"/>
    <x v="0"/>
    <x v="4"/>
    <x v="5"/>
    <s v="01-01-2025"/>
    <s v="11-01-2025"/>
    <s v="14-01-2025"/>
    <x v="4"/>
    <n v="70000"/>
    <n v="2"/>
    <n v="140000"/>
    <n v="84000"/>
    <x v="0"/>
    <x v="5"/>
    <n v="9800.0000000000018"/>
    <x v="7"/>
    <x v="0"/>
    <x v="1"/>
    <n v="2025"/>
    <x v="3"/>
  </r>
  <r>
    <s v="B571"/>
    <s v="Kavya Menon"/>
    <n v="28"/>
    <x v="1"/>
    <x v="2"/>
    <x v="5"/>
    <s v="14-03-2025"/>
    <s v="01-04-2025"/>
    <s v="06-04-2025"/>
    <x v="2"/>
    <n v="80000"/>
    <n v="2"/>
    <n v="160000"/>
    <n v="96000"/>
    <x v="0"/>
    <x v="3"/>
    <n v="19200"/>
    <x v="3"/>
    <x v="0"/>
    <x v="6"/>
    <n v="2025"/>
    <x v="1"/>
  </r>
  <r>
    <s v="B572"/>
    <s v="Shreya Patel"/>
    <n v="25"/>
    <x v="1"/>
    <x v="3"/>
    <x v="7"/>
    <s v="10-05-2025"/>
    <s v="17-05-2025"/>
    <s v="23-05-2025"/>
    <x v="3"/>
    <n v="120000"/>
    <n v="2"/>
    <n v="240000"/>
    <n v="156000"/>
    <x v="0"/>
    <x v="4"/>
    <n v="36000"/>
    <x v="8"/>
    <x v="0"/>
    <x v="2"/>
    <n v="2025"/>
    <x v="1"/>
  </r>
  <r>
    <s v="B573"/>
    <s v="Priya Reddy"/>
    <n v="44"/>
    <x v="1"/>
    <x v="0"/>
    <x v="14"/>
    <s v="03-02-2025"/>
    <s v="23-02-2025"/>
    <s v="02-03-2025"/>
    <x v="0"/>
    <n v="18000"/>
    <n v="3"/>
    <n v="54000"/>
    <n v="27000"/>
    <x v="0"/>
    <x v="0"/>
    <n v="2700"/>
    <x v="5"/>
    <x v="0"/>
    <x v="7"/>
    <n v="2025"/>
    <x v="3"/>
  </r>
  <r>
    <s v="B574"/>
    <s v="Suresh Menon"/>
    <n v="25"/>
    <x v="0"/>
    <x v="2"/>
    <x v="13"/>
    <s v="08-01-2025"/>
    <s v="14-01-2025"/>
    <s v="22-01-2025"/>
    <x v="2"/>
    <n v="80000"/>
    <n v="2"/>
    <n v="160000"/>
    <n v="96000"/>
    <x v="1"/>
    <x v="1"/>
    <n v="0"/>
    <x v="1"/>
    <x v="1"/>
    <x v="1"/>
    <n v="2025"/>
    <x v="1"/>
  </r>
  <r>
    <s v="B575"/>
    <s v="Krishna Iyer"/>
    <n v="22"/>
    <x v="0"/>
    <x v="4"/>
    <x v="2"/>
    <s v="07-03-2025"/>
    <s v="22-03-2025"/>
    <s v="26-03-2025"/>
    <x v="4"/>
    <n v="70000"/>
    <n v="1"/>
    <n v="70000"/>
    <n v="42000"/>
    <x v="0"/>
    <x v="5"/>
    <n v="4900.0000000000009"/>
    <x v="9"/>
    <x v="0"/>
    <x v="6"/>
    <n v="2025"/>
    <x v="6"/>
  </r>
  <r>
    <s v="B576"/>
    <s v="Payal Nair"/>
    <n v="29"/>
    <x v="1"/>
    <x v="2"/>
    <x v="4"/>
    <s v="10-08-2025"/>
    <s v="28-08-2025"/>
    <s v="01-09-2025"/>
    <x v="2"/>
    <n v="80000"/>
    <n v="2"/>
    <n v="160000"/>
    <n v="96000"/>
    <x v="0"/>
    <x v="3"/>
    <n v="19200"/>
    <x v="3"/>
    <x v="0"/>
    <x v="5"/>
    <n v="2025"/>
    <x v="1"/>
  </r>
  <r>
    <s v="B577"/>
    <s v="Vivaan Reddy"/>
    <n v="37"/>
    <x v="0"/>
    <x v="4"/>
    <x v="13"/>
    <s v="26-06-2025"/>
    <s v="11-07-2025"/>
    <s v="19-07-2025"/>
    <x v="4"/>
    <n v="70000"/>
    <n v="1"/>
    <n v="70000"/>
    <n v="42000"/>
    <x v="1"/>
    <x v="1"/>
    <n v="0"/>
    <x v="1"/>
    <x v="1"/>
    <x v="3"/>
    <n v="2025"/>
    <x v="7"/>
  </r>
  <r>
    <s v="B578"/>
    <s v="Isha Shetty"/>
    <n v="26"/>
    <x v="1"/>
    <x v="2"/>
    <x v="0"/>
    <s v="16-07-2025"/>
    <s v="07-08-2025"/>
    <s v="14-08-2025"/>
    <x v="2"/>
    <n v="80000"/>
    <n v="2"/>
    <n v="160000"/>
    <n v="96000"/>
    <x v="0"/>
    <x v="3"/>
    <n v="19200"/>
    <x v="3"/>
    <x v="0"/>
    <x v="0"/>
    <n v="2025"/>
    <x v="1"/>
  </r>
  <r>
    <s v="B579"/>
    <s v="Kavya Tripathi"/>
    <n v="45"/>
    <x v="1"/>
    <x v="1"/>
    <x v="2"/>
    <s v="31-03-2025"/>
    <s v="15-04-2025"/>
    <s v="24-04-2025"/>
    <x v="1"/>
    <n v="60000"/>
    <n v="2"/>
    <n v="120000"/>
    <n v="78000"/>
    <x v="0"/>
    <x v="2"/>
    <n v="12000"/>
    <x v="6"/>
    <x v="0"/>
    <x v="6"/>
    <n v="2025"/>
    <x v="2"/>
  </r>
  <r>
    <s v="B580"/>
    <s v="Aditi Pandey"/>
    <n v="38"/>
    <x v="1"/>
    <x v="0"/>
    <x v="15"/>
    <s v="09-05-2025"/>
    <s v="17-05-2025"/>
    <s v="25-05-2025"/>
    <x v="0"/>
    <n v="18000"/>
    <n v="4"/>
    <n v="72000"/>
    <n v="36000"/>
    <x v="0"/>
    <x v="0"/>
    <n v="3600"/>
    <x v="16"/>
    <x v="0"/>
    <x v="2"/>
    <n v="2025"/>
    <x v="7"/>
  </r>
  <r>
    <s v="B581"/>
    <s v="Bhavna Tripathi"/>
    <n v="51"/>
    <x v="1"/>
    <x v="4"/>
    <x v="2"/>
    <s v="23-08-2025"/>
    <s v="29-08-2025"/>
    <s v="03-09-2025"/>
    <x v="4"/>
    <n v="70000"/>
    <n v="2"/>
    <n v="140000"/>
    <n v="84000"/>
    <x v="1"/>
    <x v="1"/>
    <n v="0"/>
    <x v="1"/>
    <x v="1"/>
    <x v="5"/>
    <n v="2025"/>
    <x v="5"/>
  </r>
  <r>
    <s v="B582"/>
    <s v="Priya Pandey"/>
    <n v="57"/>
    <x v="1"/>
    <x v="1"/>
    <x v="1"/>
    <s v="19-05-2025"/>
    <s v="02-06-2025"/>
    <s v="06-06-2025"/>
    <x v="1"/>
    <n v="60000"/>
    <n v="2"/>
    <n v="120000"/>
    <n v="78000"/>
    <x v="0"/>
    <x v="2"/>
    <n v="12000"/>
    <x v="6"/>
    <x v="0"/>
    <x v="2"/>
    <n v="2025"/>
    <x v="4"/>
  </r>
  <r>
    <s v="B583"/>
    <s v="Siddharth Jain"/>
    <n v="30"/>
    <x v="0"/>
    <x v="4"/>
    <x v="8"/>
    <s v="08-03-2025"/>
    <s v="06-04-2025"/>
    <s v="15-04-2025"/>
    <x v="4"/>
    <n v="70000"/>
    <n v="3"/>
    <n v="210000"/>
    <n v="126000"/>
    <x v="0"/>
    <x v="5"/>
    <n v="14700.000000000002"/>
    <x v="13"/>
    <x v="0"/>
    <x v="6"/>
    <n v="2025"/>
    <x v="0"/>
  </r>
  <r>
    <s v="B584"/>
    <s v="Manish Kulkarni"/>
    <n v="58"/>
    <x v="0"/>
    <x v="3"/>
    <x v="2"/>
    <s v="23-03-2025"/>
    <s v="29-03-2025"/>
    <s v="08-04-2025"/>
    <x v="3"/>
    <n v="120000"/>
    <n v="4"/>
    <n v="480000"/>
    <n v="312000"/>
    <x v="1"/>
    <x v="1"/>
    <n v="0"/>
    <x v="1"/>
    <x v="1"/>
    <x v="6"/>
    <n v="2025"/>
    <x v="4"/>
  </r>
  <r>
    <s v="B585"/>
    <s v="Isha Tripathi"/>
    <n v="51"/>
    <x v="1"/>
    <x v="4"/>
    <x v="7"/>
    <s v="22-07-2025"/>
    <s v="11-08-2025"/>
    <s v="21-08-2025"/>
    <x v="4"/>
    <n v="70000"/>
    <n v="4"/>
    <n v="280000"/>
    <n v="168000"/>
    <x v="0"/>
    <x v="5"/>
    <n v="19600.000000000004"/>
    <x v="10"/>
    <x v="0"/>
    <x v="0"/>
    <n v="2025"/>
    <x v="5"/>
  </r>
  <r>
    <s v="B586"/>
    <s v="Deepak Pandey"/>
    <n v="33"/>
    <x v="0"/>
    <x v="3"/>
    <x v="7"/>
    <s v="15-01-2025"/>
    <s v="03-02-2025"/>
    <s v="06-02-2025"/>
    <x v="3"/>
    <n v="120000"/>
    <n v="2"/>
    <n v="240000"/>
    <n v="156000"/>
    <x v="0"/>
    <x v="4"/>
    <n v="36000"/>
    <x v="8"/>
    <x v="0"/>
    <x v="1"/>
    <n v="2025"/>
    <x v="0"/>
  </r>
  <r>
    <s v="B587"/>
    <s v="Aditi Tripathi"/>
    <n v="22"/>
    <x v="1"/>
    <x v="3"/>
    <x v="3"/>
    <s v="08-05-2025"/>
    <s v="28-05-2025"/>
    <s v="06-06-2025"/>
    <x v="3"/>
    <n v="120000"/>
    <n v="3"/>
    <n v="360000"/>
    <n v="234000"/>
    <x v="1"/>
    <x v="1"/>
    <n v="0"/>
    <x v="1"/>
    <x v="1"/>
    <x v="2"/>
    <n v="2025"/>
    <x v="6"/>
  </r>
  <r>
    <s v="B588"/>
    <s v="Priya Shetty"/>
    <n v="52"/>
    <x v="1"/>
    <x v="0"/>
    <x v="4"/>
    <s v="16-04-2025"/>
    <s v="23-04-2025"/>
    <s v="26-04-2025"/>
    <x v="0"/>
    <n v="18000"/>
    <n v="4"/>
    <n v="72000"/>
    <n v="36000"/>
    <x v="1"/>
    <x v="1"/>
    <n v="0"/>
    <x v="1"/>
    <x v="1"/>
    <x v="4"/>
    <n v="2025"/>
    <x v="5"/>
  </r>
  <r>
    <s v="B589"/>
    <s v="Ritika Tripathi"/>
    <n v="26"/>
    <x v="1"/>
    <x v="2"/>
    <x v="7"/>
    <s v="02-03-2025"/>
    <s v="17-03-2025"/>
    <s v="21-03-2025"/>
    <x v="2"/>
    <n v="80000"/>
    <n v="2"/>
    <n v="160000"/>
    <n v="96000"/>
    <x v="1"/>
    <x v="1"/>
    <n v="0"/>
    <x v="1"/>
    <x v="1"/>
    <x v="6"/>
    <n v="2025"/>
    <x v="1"/>
  </r>
  <r>
    <s v="B590"/>
    <s v="Bhavna Das"/>
    <n v="53"/>
    <x v="1"/>
    <x v="3"/>
    <x v="11"/>
    <s v="20-01-2025"/>
    <s v="25-01-2025"/>
    <s v="29-01-2025"/>
    <x v="3"/>
    <n v="120000"/>
    <n v="1"/>
    <n v="120000"/>
    <n v="78000"/>
    <x v="0"/>
    <x v="4"/>
    <n v="18000"/>
    <x v="4"/>
    <x v="0"/>
    <x v="1"/>
    <n v="2025"/>
    <x v="5"/>
  </r>
  <r>
    <s v="B591"/>
    <s v="Rohan Bose"/>
    <n v="26"/>
    <x v="0"/>
    <x v="4"/>
    <x v="11"/>
    <s v="10-02-2025"/>
    <s v="04-03-2025"/>
    <s v="07-03-2025"/>
    <x v="4"/>
    <n v="70000"/>
    <n v="1"/>
    <n v="70000"/>
    <n v="42000"/>
    <x v="1"/>
    <x v="1"/>
    <n v="0"/>
    <x v="1"/>
    <x v="1"/>
    <x v="7"/>
    <n v="2025"/>
    <x v="1"/>
  </r>
  <r>
    <s v="B592"/>
    <s v="Sanya Sharma"/>
    <n v="48"/>
    <x v="1"/>
    <x v="3"/>
    <x v="7"/>
    <s v="20-05-2025"/>
    <s v="03-06-2025"/>
    <s v="07-06-2025"/>
    <x v="3"/>
    <n v="120000"/>
    <n v="3"/>
    <n v="360000"/>
    <n v="234000"/>
    <x v="1"/>
    <x v="1"/>
    <n v="0"/>
    <x v="1"/>
    <x v="1"/>
    <x v="2"/>
    <n v="2025"/>
    <x v="2"/>
  </r>
  <r>
    <s v="B593"/>
    <s v="Karan Sharma"/>
    <n v="32"/>
    <x v="0"/>
    <x v="1"/>
    <x v="8"/>
    <s v="27-05-2025"/>
    <s v="15-06-2025"/>
    <s v="25-06-2025"/>
    <x v="1"/>
    <n v="60000"/>
    <n v="4"/>
    <n v="240000"/>
    <n v="156000"/>
    <x v="0"/>
    <x v="2"/>
    <n v="24000"/>
    <x v="2"/>
    <x v="0"/>
    <x v="2"/>
    <n v="2025"/>
    <x v="0"/>
  </r>
  <r>
    <s v="B594"/>
    <s v="Nikhil Menon"/>
    <n v="44"/>
    <x v="0"/>
    <x v="4"/>
    <x v="8"/>
    <s v="10-05-2025"/>
    <s v="17-05-2025"/>
    <s v="27-05-2025"/>
    <x v="4"/>
    <n v="70000"/>
    <n v="2"/>
    <n v="140000"/>
    <n v="84000"/>
    <x v="1"/>
    <x v="1"/>
    <n v="0"/>
    <x v="1"/>
    <x v="1"/>
    <x v="2"/>
    <n v="2025"/>
    <x v="3"/>
  </r>
  <r>
    <s v="B595"/>
    <s v="Deepak Bose"/>
    <n v="31"/>
    <x v="0"/>
    <x v="1"/>
    <x v="10"/>
    <s v="23-08-2025"/>
    <s v="29-08-2025"/>
    <s v="08-09-2025"/>
    <x v="1"/>
    <n v="60000"/>
    <n v="4"/>
    <n v="240000"/>
    <n v="156000"/>
    <x v="0"/>
    <x v="2"/>
    <n v="24000"/>
    <x v="2"/>
    <x v="0"/>
    <x v="5"/>
    <n v="2025"/>
    <x v="0"/>
  </r>
  <r>
    <s v="B596"/>
    <s v="Anil Menon"/>
    <n v="46"/>
    <x v="0"/>
    <x v="4"/>
    <x v="2"/>
    <s v="24-01-2025"/>
    <s v="16-02-2025"/>
    <s v="19-02-2025"/>
    <x v="4"/>
    <n v="70000"/>
    <n v="1"/>
    <n v="70000"/>
    <n v="42000"/>
    <x v="1"/>
    <x v="1"/>
    <n v="0"/>
    <x v="1"/>
    <x v="1"/>
    <x v="1"/>
    <n v="2025"/>
    <x v="2"/>
  </r>
  <r>
    <s v="B597"/>
    <s v="Manish Das"/>
    <n v="31"/>
    <x v="0"/>
    <x v="2"/>
    <x v="7"/>
    <s v="02-04-2025"/>
    <s v="07-04-2025"/>
    <s v="10-04-2025"/>
    <x v="2"/>
    <n v="80000"/>
    <n v="2"/>
    <n v="160000"/>
    <n v="96000"/>
    <x v="0"/>
    <x v="3"/>
    <n v="19200"/>
    <x v="3"/>
    <x v="0"/>
    <x v="4"/>
    <n v="2025"/>
    <x v="0"/>
  </r>
  <r>
    <s v="B598"/>
    <s v="Shreya Mishra"/>
    <n v="28"/>
    <x v="1"/>
    <x v="2"/>
    <x v="13"/>
    <s v="25-01-2025"/>
    <s v="13-02-2025"/>
    <s v="22-02-2025"/>
    <x v="2"/>
    <n v="80000"/>
    <n v="2"/>
    <n v="160000"/>
    <n v="96000"/>
    <x v="1"/>
    <x v="1"/>
    <n v="0"/>
    <x v="1"/>
    <x v="1"/>
    <x v="1"/>
    <n v="2025"/>
    <x v="1"/>
  </r>
  <r>
    <s v="B599"/>
    <s v="Manish Gupta"/>
    <n v="53"/>
    <x v="0"/>
    <x v="3"/>
    <x v="3"/>
    <s v="12-07-2025"/>
    <s v="27-07-2025"/>
    <s v="02-08-2025"/>
    <x v="3"/>
    <n v="120000"/>
    <n v="2"/>
    <n v="240000"/>
    <n v="156000"/>
    <x v="0"/>
    <x v="4"/>
    <n v="36000"/>
    <x v="8"/>
    <x v="0"/>
    <x v="0"/>
    <n v="2025"/>
    <x v="5"/>
  </r>
  <r>
    <s v="B600"/>
    <s v="Payal Joshi"/>
    <n v="50"/>
    <x v="1"/>
    <x v="0"/>
    <x v="13"/>
    <s v="09-06-2025"/>
    <s v="09-07-2025"/>
    <s v="12-07-2025"/>
    <x v="0"/>
    <n v="18000"/>
    <n v="3"/>
    <n v="54000"/>
    <n v="27000"/>
    <x v="0"/>
    <x v="0"/>
    <n v="2700"/>
    <x v="5"/>
    <x v="0"/>
    <x v="3"/>
    <n v="2025"/>
    <x v="5"/>
  </r>
  <r>
    <s v="B601"/>
    <s v="Pranav Reddy"/>
    <n v="52"/>
    <x v="0"/>
    <x v="0"/>
    <x v="5"/>
    <s v="20-07-2025"/>
    <s v="29-07-2025"/>
    <s v="06-08-2025"/>
    <x v="0"/>
    <n v="18000"/>
    <n v="3"/>
    <n v="54000"/>
    <n v="27000"/>
    <x v="0"/>
    <x v="0"/>
    <n v="2700"/>
    <x v="5"/>
    <x v="0"/>
    <x v="0"/>
    <n v="2025"/>
    <x v="5"/>
  </r>
  <r>
    <s v="B602"/>
    <s v="Deepak Tripathi"/>
    <n v="59"/>
    <x v="0"/>
    <x v="4"/>
    <x v="4"/>
    <s v="03-07-2025"/>
    <s v="20-07-2025"/>
    <s v="30-07-2025"/>
    <x v="4"/>
    <n v="70000"/>
    <n v="1"/>
    <n v="70000"/>
    <n v="42000"/>
    <x v="1"/>
    <x v="1"/>
    <n v="0"/>
    <x v="1"/>
    <x v="1"/>
    <x v="0"/>
    <n v="2025"/>
    <x v="4"/>
  </r>
  <r>
    <s v="B603"/>
    <s v="Ramesh Shetty"/>
    <n v="48"/>
    <x v="0"/>
    <x v="1"/>
    <x v="1"/>
    <s v="23-08-2025"/>
    <s v="05-09-2025"/>
    <s v="14-09-2025"/>
    <x v="1"/>
    <n v="60000"/>
    <n v="2"/>
    <n v="120000"/>
    <n v="78000"/>
    <x v="1"/>
    <x v="1"/>
    <n v="0"/>
    <x v="1"/>
    <x v="1"/>
    <x v="5"/>
    <n v="2025"/>
    <x v="2"/>
  </r>
  <r>
    <s v="B604"/>
    <s v="Pooja Tripathi"/>
    <n v="32"/>
    <x v="1"/>
    <x v="4"/>
    <x v="13"/>
    <s v="15-06-2025"/>
    <s v="29-06-2025"/>
    <s v="06-07-2025"/>
    <x v="4"/>
    <n v="70000"/>
    <n v="4"/>
    <n v="280000"/>
    <n v="168000"/>
    <x v="1"/>
    <x v="1"/>
    <n v="0"/>
    <x v="1"/>
    <x v="1"/>
    <x v="3"/>
    <n v="2025"/>
    <x v="0"/>
  </r>
  <r>
    <s v="B605"/>
    <s v="Swati Kapoor"/>
    <n v="25"/>
    <x v="1"/>
    <x v="2"/>
    <x v="0"/>
    <s v="04-05-2025"/>
    <s v="11-05-2025"/>
    <s v="20-05-2025"/>
    <x v="2"/>
    <n v="80000"/>
    <n v="2"/>
    <n v="160000"/>
    <n v="96000"/>
    <x v="1"/>
    <x v="1"/>
    <n v="0"/>
    <x v="1"/>
    <x v="1"/>
    <x v="2"/>
    <n v="2025"/>
    <x v="1"/>
  </r>
  <r>
    <s v="B606"/>
    <s v="Ananya Khan"/>
    <n v="30"/>
    <x v="1"/>
    <x v="1"/>
    <x v="10"/>
    <s v="29-07-2025"/>
    <s v="22-08-2025"/>
    <s v="31-08-2025"/>
    <x v="1"/>
    <n v="60000"/>
    <n v="2"/>
    <n v="120000"/>
    <n v="78000"/>
    <x v="1"/>
    <x v="1"/>
    <n v="0"/>
    <x v="1"/>
    <x v="1"/>
    <x v="0"/>
    <n v="2025"/>
    <x v="0"/>
  </r>
  <r>
    <s v="B607"/>
    <s v="Siddharth Iyer"/>
    <n v="35"/>
    <x v="0"/>
    <x v="1"/>
    <x v="13"/>
    <s v="02-03-2025"/>
    <s v="30-03-2025"/>
    <s v="03-04-2025"/>
    <x v="1"/>
    <n v="60000"/>
    <n v="4"/>
    <n v="240000"/>
    <n v="156000"/>
    <x v="1"/>
    <x v="1"/>
    <n v="0"/>
    <x v="1"/>
    <x v="1"/>
    <x v="6"/>
    <n v="2025"/>
    <x v="7"/>
  </r>
  <r>
    <s v="B608"/>
    <s v="Arjun Kulkarni"/>
    <n v="28"/>
    <x v="0"/>
    <x v="1"/>
    <x v="0"/>
    <s v="06-07-2025"/>
    <s v="17-07-2025"/>
    <s v="23-07-2025"/>
    <x v="1"/>
    <n v="60000"/>
    <n v="3"/>
    <n v="180000"/>
    <n v="117000"/>
    <x v="1"/>
    <x v="1"/>
    <n v="0"/>
    <x v="1"/>
    <x v="1"/>
    <x v="0"/>
    <n v="2025"/>
    <x v="1"/>
  </r>
  <r>
    <s v="B609"/>
    <s v="Deepak Kapoor"/>
    <n v="32"/>
    <x v="0"/>
    <x v="2"/>
    <x v="7"/>
    <s v="21-04-2025"/>
    <s v="14-05-2025"/>
    <s v="21-05-2025"/>
    <x v="2"/>
    <n v="80000"/>
    <n v="2"/>
    <n v="160000"/>
    <n v="96000"/>
    <x v="0"/>
    <x v="3"/>
    <n v="19200"/>
    <x v="3"/>
    <x v="0"/>
    <x v="4"/>
    <n v="2025"/>
    <x v="0"/>
  </r>
  <r>
    <s v="B610"/>
    <s v="Komal Gupta"/>
    <n v="45"/>
    <x v="1"/>
    <x v="0"/>
    <x v="16"/>
    <s v="26-05-2025"/>
    <s v="01-06-2025"/>
    <s v="05-06-2025"/>
    <x v="0"/>
    <n v="18000"/>
    <n v="1"/>
    <n v="18000"/>
    <n v="9000"/>
    <x v="1"/>
    <x v="1"/>
    <n v="0"/>
    <x v="1"/>
    <x v="1"/>
    <x v="2"/>
    <n v="2025"/>
    <x v="2"/>
  </r>
  <r>
    <s v="B611"/>
    <s v="Arjun Das"/>
    <n v="28"/>
    <x v="0"/>
    <x v="1"/>
    <x v="11"/>
    <s v="02-05-2025"/>
    <s v="26-05-2025"/>
    <s v="30-05-2025"/>
    <x v="1"/>
    <n v="60000"/>
    <n v="2"/>
    <n v="120000"/>
    <n v="78000"/>
    <x v="0"/>
    <x v="2"/>
    <n v="12000"/>
    <x v="6"/>
    <x v="0"/>
    <x v="2"/>
    <n v="2025"/>
    <x v="1"/>
  </r>
  <r>
    <s v="B612"/>
    <s v="Krishna Gupta"/>
    <n v="30"/>
    <x v="0"/>
    <x v="2"/>
    <x v="2"/>
    <s v="12-05-2025"/>
    <s v="19-05-2025"/>
    <s v="24-05-2025"/>
    <x v="2"/>
    <n v="80000"/>
    <n v="2"/>
    <n v="160000"/>
    <n v="96000"/>
    <x v="0"/>
    <x v="3"/>
    <n v="19200"/>
    <x v="3"/>
    <x v="0"/>
    <x v="2"/>
    <n v="2025"/>
    <x v="0"/>
  </r>
  <r>
    <s v="B613"/>
    <s v="Nisha Jain"/>
    <n v="25"/>
    <x v="1"/>
    <x v="0"/>
    <x v="19"/>
    <s v="24-03-2025"/>
    <s v="18-04-2025"/>
    <s v="23-04-2025"/>
    <x v="0"/>
    <n v="18000"/>
    <n v="3"/>
    <n v="54000"/>
    <n v="27000"/>
    <x v="0"/>
    <x v="0"/>
    <n v="2700"/>
    <x v="5"/>
    <x v="0"/>
    <x v="6"/>
    <n v="2025"/>
    <x v="1"/>
  </r>
  <r>
    <s v="B614"/>
    <s v="Meera Jain"/>
    <n v="25"/>
    <x v="1"/>
    <x v="2"/>
    <x v="11"/>
    <s v="03-02-2025"/>
    <s v="26-02-2025"/>
    <s v="08-03-2025"/>
    <x v="2"/>
    <n v="80000"/>
    <n v="2"/>
    <n v="160000"/>
    <n v="96000"/>
    <x v="0"/>
    <x v="3"/>
    <n v="19200"/>
    <x v="3"/>
    <x v="0"/>
    <x v="7"/>
    <n v="2025"/>
    <x v="1"/>
  </r>
  <r>
    <s v="B615"/>
    <s v="Rahul Tripathi"/>
    <n v="35"/>
    <x v="0"/>
    <x v="0"/>
    <x v="14"/>
    <s v="31-01-2025"/>
    <s v="05-02-2025"/>
    <s v="13-02-2025"/>
    <x v="0"/>
    <n v="18000"/>
    <n v="4"/>
    <n v="72000"/>
    <n v="36000"/>
    <x v="0"/>
    <x v="0"/>
    <n v="3600"/>
    <x v="16"/>
    <x v="0"/>
    <x v="1"/>
    <n v="2025"/>
    <x v="7"/>
  </r>
  <r>
    <s v="B616"/>
    <s v="Sameer Menon"/>
    <n v="28"/>
    <x v="0"/>
    <x v="3"/>
    <x v="10"/>
    <s v="17-04-2025"/>
    <s v="05-05-2025"/>
    <s v="13-05-2025"/>
    <x v="3"/>
    <n v="120000"/>
    <n v="1"/>
    <n v="120000"/>
    <n v="78000"/>
    <x v="1"/>
    <x v="1"/>
    <n v="0"/>
    <x v="1"/>
    <x v="1"/>
    <x v="4"/>
    <n v="2025"/>
    <x v="1"/>
  </r>
  <r>
    <s v="B617"/>
    <s v="Diya Jain"/>
    <n v="27"/>
    <x v="1"/>
    <x v="1"/>
    <x v="7"/>
    <s v="15-07-2025"/>
    <s v="31-07-2025"/>
    <s v="03-08-2025"/>
    <x v="1"/>
    <n v="60000"/>
    <n v="1"/>
    <n v="60000"/>
    <n v="39000"/>
    <x v="1"/>
    <x v="1"/>
    <n v="0"/>
    <x v="1"/>
    <x v="1"/>
    <x v="0"/>
    <n v="2025"/>
    <x v="1"/>
  </r>
  <r>
    <s v="B618"/>
    <s v="Rohan Pandey"/>
    <n v="25"/>
    <x v="0"/>
    <x v="0"/>
    <x v="17"/>
    <s v="29-03-2025"/>
    <s v="24-04-2025"/>
    <s v="29-04-2025"/>
    <x v="0"/>
    <n v="18000"/>
    <n v="3"/>
    <n v="54000"/>
    <n v="27000"/>
    <x v="0"/>
    <x v="0"/>
    <n v="2700"/>
    <x v="5"/>
    <x v="0"/>
    <x v="6"/>
    <n v="2025"/>
    <x v="1"/>
  </r>
  <r>
    <s v="B619"/>
    <s v="Shreya Joshi"/>
    <n v="41"/>
    <x v="1"/>
    <x v="3"/>
    <x v="1"/>
    <s v="23-08-2025"/>
    <s v="16-09-2025"/>
    <s v="25-09-2025"/>
    <x v="3"/>
    <n v="120000"/>
    <n v="2"/>
    <n v="240000"/>
    <n v="156000"/>
    <x v="1"/>
    <x v="1"/>
    <n v="0"/>
    <x v="1"/>
    <x v="1"/>
    <x v="5"/>
    <n v="2025"/>
    <x v="3"/>
  </r>
  <r>
    <s v="B620"/>
    <s v="Kabir Sharma"/>
    <n v="36"/>
    <x v="0"/>
    <x v="0"/>
    <x v="4"/>
    <s v="01-08-2025"/>
    <s v="08-08-2025"/>
    <s v="15-08-2025"/>
    <x v="0"/>
    <n v="18000"/>
    <n v="1"/>
    <n v="18000"/>
    <n v="9000"/>
    <x v="1"/>
    <x v="1"/>
    <n v="0"/>
    <x v="1"/>
    <x v="1"/>
    <x v="5"/>
    <n v="2025"/>
    <x v="7"/>
  </r>
  <r>
    <s v="B621"/>
    <s v="Isha Mishra"/>
    <n v="40"/>
    <x v="1"/>
    <x v="0"/>
    <x v="6"/>
    <s v="19-03-2025"/>
    <s v="15-04-2025"/>
    <s v="25-04-2025"/>
    <x v="0"/>
    <n v="18000"/>
    <n v="3"/>
    <n v="54000"/>
    <n v="27000"/>
    <x v="1"/>
    <x v="1"/>
    <n v="0"/>
    <x v="1"/>
    <x v="1"/>
    <x v="6"/>
    <n v="2025"/>
    <x v="3"/>
  </r>
  <r>
    <s v="B622"/>
    <s v="Shreya Bose"/>
    <n v="19"/>
    <x v="1"/>
    <x v="0"/>
    <x v="14"/>
    <s v="18-05-2025"/>
    <s v="26-05-2025"/>
    <s v="30-05-2025"/>
    <x v="0"/>
    <n v="18000"/>
    <n v="1"/>
    <n v="18000"/>
    <n v="9000"/>
    <x v="0"/>
    <x v="0"/>
    <n v="900"/>
    <x v="0"/>
    <x v="0"/>
    <x v="2"/>
    <n v="2025"/>
    <x v="8"/>
  </r>
  <r>
    <s v="B623"/>
    <s v="Diya Tripathi"/>
    <n v="22"/>
    <x v="1"/>
    <x v="0"/>
    <x v="13"/>
    <s v="29-04-2025"/>
    <s v="12-05-2025"/>
    <s v="15-05-2025"/>
    <x v="0"/>
    <n v="18000"/>
    <n v="3"/>
    <n v="54000"/>
    <n v="27000"/>
    <x v="0"/>
    <x v="0"/>
    <n v="2700"/>
    <x v="5"/>
    <x v="0"/>
    <x v="4"/>
    <n v="2025"/>
    <x v="6"/>
  </r>
  <r>
    <s v="B624"/>
    <s v="Komal Mishra"/>
    <n v="56"/>
    <x v="1"/>
    <x v="3"/>
    <x v="9"/>
    <s v="28-08-2025"/>
    <s v="12-09-2025"/>
    <s v="21-09-2025"/>
    <x v="3"/>
    <n v="120000"/>
    <n v="4"/>
    <n v="480000"/>
    <n v="312000"/>
    <x v="0"/>
    <x v="4"/>
    <n v="72000"/>
    <x v="11"/>
    <x v="0"/>
    <x v="5"/>
    <n v="2025"/>
    <x v="4"/>
  </r>
  <r>
    <s v="B625"/>
    <s v="Anil Tripathi"/>
    <n v="41"/>
    <x v="0"/>
    <x v="4"/>
    <x v="10"/>
    <s v="22-07-2025"/>
    <s v="02-08-2025"/>
    <s v="09-08-2025"/>
    <x v="4"/>
    <n v="70000"/>
    <n v="1"/>
    <n v="70000"/>
    <n v="42000"/>
    <x v="1"/>
    <x v="1"/>
    <n v="0"/>
    <x v="1"/>
    <x v="1"/>
    <x v="0"/>
    <n v="2025"/>
    <x v="3"/>
  </r>
  <r>
    <s v="B626"/>
    <s v="Krishna Agarwal"/>
    <n v="53"/>
    <x v="0"/>
    <x v="4"/>
    <x v="13"/>
    <s v="30-01-2025"/>
    <s v="11-02-2025"/>
    <s v="15-02-2025"/>
    <x v="4"/>
    <n v="70000"/>
    <n v="2"/>
    <n v="140000"/>
    <n v="84000"/>
    <x v="0"/>
    <x v="5"/>
    <n v="9800.0000000000018"/>
    <x v="7"/>
    <x v="0"/>
    <x v="1"/>
    <n v="2025"/>
    <x v="5"/>
  </r>
  <r>
    <s v="B627"/>
    <s v="Sameer Tripathi"/>
    <n v="30"/>
    <x v="0"/>
    <x v="2"/>
    <x v="11"/>
    <s v="23-08-2025"/>
    <s v="17-09-2025"/>
    <s v="21-09-2025"/>
    <x v="2"/>
    <n v="80000"/>
    <n v="2"/>
    <n v="160000"/>
    <n v="96000"/>
    <x v="0"/>
    <x v="3"/>
    <n v="19200"/>
    <x v="3"/>
    <x v="0"/>
    <x v="5"/>
    <n v="2025"/>
    <x v="0"/>
  </r>
  <r>
    <s v="B628"/>
    <s v="Deepak Sharma"/>
    <n v="38"/>
    <x v="0"/>
    <x v="0"/>
    <x v="17"/>
    <s v="01-05-2025"/>
    <s v="09-05-2025"/>
    <s v="14-05-2025"/>
    <x v="0"/>
    <n v="18000"/>
    <n v="2"/>
    <n v="36000"/>
    <n v="18000"/>
    <x v="1"/>
    <x v="1"/>
    <n v="0"/>
    <x v="1"/>
    <x v="1"/>
    <x v="2"/>
    <n v="2025"/>
    <x v="7"/>
  </r>
  <r>
    <s v="B629"/>
    <s v="Neha Bose"/>
    <n v="24"/>
    <x v="1"/>
    <x v="1"/>
    <x v="7"/>
    <s v="14-03-2025"/>
    <s v="24-03-2025"/>
    <s v="27-03-2025"/>
    <x v="1"/>
    <n v="60000"/>
    <n v="1"/>
    <n v="60000"/>
    <n v="39000"/>
    <x v="1"/>
    <x v="1"/>
    <n v="0"/>
    <x v="1"/>
    <x v="1"/>
    <x v="6"/>
    <n v="2025"/>
    <x v="6"/>
  </r>
  <r>
    <s v="B630"/>
    <s v="Ananya Gupta"/>
    <n v="18"/>
    <x v="1"/>
    <x v="3"/>
    <x v="3"/>
    <s v="10-07-2025"/>
    <s v="04-08-2025"/>
    <s v="14-08-2025"/>
    <x v="3"/>
    <n v="120000"/>
    <n v="1"/>
    <n v="120000"/>
    <n v="78000"/>
    <x v="0"/>
    <x v="4"/>
    <n v="18000"/>
    <x v="4"/>
    <x v="0"/>
    <x v="0"/>
    <n v="2025"/>
    <x v="8"/>
  </r>
  <r>
    <s v="B631"/>
    <s v="Isha Iyer"/>
    <n v="39"/>
    <x v="1"/>
    <x v="3"/>
    <x v="2"/>
    <s v="20-02-2025"/>
    <s v="13-03-2025"/>
    <s v="16-03-2025"/>
    <x v="3"/>
    <n v="120000"/>
    <n v="2"/>
    <n v="240000"/>
    <n v="156000"/>
    <x v="0"/>
    <x v="4"/>
    <n v="36000"/>
    <x v="8"/>
    <x v="0"/>
    <x v="7"/>
    <n v="2025"/>
    <x v="7"/>
  </r>
  <r>
    <s v="B632"/>
    <s v="Vivaan Gupta"/>
    <n v="29"/>
    <x v="0"/>
    <x v="1"/>
    <x v="1"/>
    <s v="04-08-2025"/>
    <s v="17-08-2025"/>
    <s v="25-08-2025"/>
    <x v="1"/>
    <n v="60000"/>
    <n v="1"/>
    <n v="60000"/>
    <n v="39000"/>
    <x v="1"/>
    <x v="1"/>
    <n v="0"/>
    <x v="1"/>
    <x v="1"/>
    <x v="5"/>
    <n v="2025"/>
    <x v="1"/>
  </r>
  <r>
    <s v="B633"/>
    <s v="Pranav Gupta"/>
    <n v="29"/>
    <x v="0"/>
    <x v="0"/>
    <x v="19"/>
    <s v="12-08-2025"/>
    <s v="22-08-2025"/>
    <s v="01-09-2025"/>
    <x v="0"/>
    <n v="18000"/>
    <n v="1"/>
    <n v="18000"/>
    <n v="9000"/>
    <x v="1"/>
    <x v="1"/>
    <n v="0"/>
    <x v="1"/>
    <x v="1"/>
    <x v="5"/>
    <n v="2025"/>
    <x v="1"/>
  </r>
  <r>
    <s v="B634"/>
    <s v="Nisha Bose"/>
    <n v="39"/>
    <x v="1"/>
    <x v="1"/>
    <x v="10"/>
    <s v="03-08-2025"/>
    <s v="09-08-2025"/>
    <s v="16-08-2025"/>
    <x v="1"/>
    <n v="60000"/>
    <n v="1"/>
    <n v="60000"/>
    <n v="39000"/>
    <x v="0"/>
    <x v="2"/>
    <n v="6000"/>
    <x v="15"/>
    <x v="0"/>
    <x v="5"/>
    <n v="2025"/>
    <x v="7"/>
  </r>
  <r>
    <s v="B635"/>
    <s v="Komal Menon"/>
    <n v="45"/>
    <x v="1"/>
    <x v="4"/>
    <x v="10"/>
    <s v="26-06-2025"/>
    <s v="22-07-2025"/>
    <s v="31-07-2025"/>
    <x v="4"/>
    <n v="70000"/>
    <n v="2"/>
    <n v="140000"/>
    <n v="84000"/>
    <x v="0"/>
    <x v="5"/>
    <n v="9800.0000000000018"/>
    <x v="7"/>
    <x v="0"/>
    <x v="3"/>
    <n v="2025"/>
    <x v="2"/>
  </r>
  <r>
    <s v="B636"/>
    <s v="Nisha Khan"/>
    <n v="54"/>
    <x v="1"/>
    <x v="4"/>
    <x v="7"/>
    <s v="14-04-2025"/>
    <s v="08-05-2025"/>
    <s v="14-05-2025"/>
    <x v="4"/>
    <n v="70000"/>
    <n v="4"/>
    <n v="280000"/>
    <n v="168000"/>
    <x v="1"/>
    <x v="1"/>
    <n v="0"/>
    <x v="1"/>
    <x v="1"/>
    <x v="4"/>
    <n v="2025"/>
    <x v="5"/>
  </r>
  <r>
    <s v="B637"/>
    <s v="Sneha Chowdhury"/>
    <n v="28"/>
    <x v="1"/>
    <x v="1"/>
    <x v="5"/>
    <s v="17-06-2025"/>
    <s v="29-06-2025"/>
    <s v="07-07-2025"/>
    <x v="1"/>
    <n v="60000"/>
    <n v="4"/>
    <n v="240000"/>
    <n v="156000"/>
    <x v="1"/>
    <x v="1"/>
    <n v="0"/>
    <x v="1"/>
    <x v="1"/>
    <x v="3"/>
    <n v="2025"/>
    <x v="1"/>
  </r>
  <r>
    <s v="B638"/>
    <s v="Diya Chowdhury"/>
    <n v="28"/>
    <x v="1"/>
    <x v="2"/>
    <x v="13"/>
    <s v="26-02-2025"/>
    <s v="13-03-2025"/>
    <s v="23-03-2025"/>
    <x v="2"/>
    <n v="80000"/>
    <n v="2"/>
    <n v="160000"/>
    <n v="96000"/>
    <x v="0"/>
    <x v="3"/>
    <n v="19200"/>
    <x v="3"/>
    <x v="0"/>
    <x v="7"/>
    <n v="2025"/>
    <x v="1"/>
  </r>
  <r>
    <s v="B639"/>
    <s v="Pranav Das"/>
    <n v="60"/>
    <x v="0"/>
    <x v="1"/>
    <x v="10"/>
    <s v="12-08-2025"/>
    <s v="05-09-2025"/>
    <s v="13-09-2025"/>
    <x v="1"/>
    <n v="60000"/>
    <n v="1"/>
    <n v="60000"/>
    <n v="39000"/>
    <x v="0"/>
    <x v="2"/>
    <n v="6000"/>
    <x v="15"/>
    <x v="0"/>
    <x v="5"/>
    <n v="2025"/>
    <x v="9"/>
  </r>
  <r>
    <s v="B640"/>
    <s v="Kavya Shetty"/>
    <n v="55"/>
    <x v="1"/>
    <x v="1"/>
    <x v="0"/>
    <s v="08-03-2025"/>
    <s v="04-04-2025"/>
    <s v="14-04-2025"/>
    <x v="1"/>
    <n v="60000"/>
    <n v="4"/>
    <n v="240000"/>
    <n v="156000"/>
    <x v="0"/>
    <x v="2"/>
    <n v="24000"/>
    <x v="2"/>
    <x v="0"/>
    <x v="6"/>
    <n v="2025"/>
    <x v="4"/>
  </r>
  <r>
    <s v="B641"/>
    <s v="Komal Sharma"/>
    <n v="30"/>
    <x v="1"/>
    <x v="2"/>
    <x v="13"/>
    <s v="28-07-2025"/>
    <s v="05-08-2025"/>
    <s v="15-08-2025"/>
    <x v="2"/>
    <n v="80000"/>
    <n v="2"/>
    <n v="160000"/>
    <n v="96000"/>
    <x v="1"/>
    <x v="1"/>
    <n v="0"/>
    <x v="1"/>
    <x v="1"/>
    <x v="0"/>
    <n v="2025"/>
    <x v="0"/>
  </r>
  <r>
    <s v="B642"/>
    <s v="Meera Patel"/>
    <n v="32"/>
    <x v="1"/>
    <x v="4"/>
    <x v="8"/>
    <s v="15-06-2025"/>
    <s v="02-07-2025"/>
    <s v="10-07-2025"/>
    <x v="4"/>
    <n v="70000"/>
    <n v="1"/>
    <n v="70000"/>
    <n v="42000"/>
    <x v="1"/>
    <x v="1"/>
    <n v="0"/>
    <x v="1"/>
    <x v="1"/>
    <x v="3"/>
    <n v="2025"/>
    <x v="0"/>
  </r>
  <r>
    <s v="B643"/>
    <s v="Sneha Kulkarni"/>
    <n v="30"/>
    <x v="1"/>
    <x v="0"/>
    <x v="8"/>
    <s v="10-04-2025"/>
    <s v="21-04-2025"/>
    <s v="26-04-2025"/>
    <x v="0"/>
    <n v="18000"/>
    <n v="1"/>
    <n v="18000"/>
    <n v="9000"/>
    <x v="0"/>
    <x v="0"/>
    <n v="900"/>
    <x v="0"/>
    <x v="0"/>
    <x v="4"/>
    <n v="2025"/>
    <x v="0"/>
  </r>
  <r>
    <s v="B644"/>
    <s v="Aditi Nair"/>
    <n v="32"/>
    <x v="1"/>
    <x v="2"/>
    <x v="11"/>
    <s v="06-01-2025"/>
    <s v="31-01-2025"/>
    <s v="08-02-2025"/>
    <x v="2"/>
    <n v="80000"/>
    <n v="2"/>
    <n v="160000"/>
    <n v="96000"/>
    <x v="1"/>
    <x v="1"/>
    <n v="0"/>
    <x v="1"/>
    <x v="1"/>
    <x v="1"/>
    <n v="2025"/>
    <x v="0"/>
  </r>
  <r>
    <s v="B645"/>
    <s v="Neha Khan"/>
    <n v="31"/>
    <x v="1"/>
    <x v="2"/>
    <x v="1"/>
    <s v="23-08-2025"/>
    <s v="31-08-2025"/>
    <s v="06-09-2025"/>
    <x v="2"/>
    <n v="80000"/>
    <n v="2"/>
    <n v="160000"/>
    <n v="96000"/>
    <x v="0"/>
    <x v="3"/>
    <n v="19200"/>
    <x v="3"/>
    <x v="0"/>
    <x v="5"/>
    <n v="2025"/>
    <x v="0"/>
  </r>
  <r>
    <s v="B646"/>
    <s v="Manish Bose"/>
    <n v="27"/>
    <x v="0"/>
    <x v="2"/>
    <x v="8"/>
    <s v="22-05-2025"/>
    <s v="13-06-2025"/>
    <s v="17-06-2025"/>
    <x v="2"/>
    <n v="80000"/>
    <n v="2"/>
    <n v="160000"/>
    <n v="96000"/>
    <x v="0"/>
    <x v="3"/>
    <n v="19200"/>
    <x v="3"/>
    <x v="0"/>
    <x v="2"/>
    <n v="2025"/>
    <x v="1"/>
  </r>
  <r>
    <s v="B647"/>
    <s v="Ramesh Gupta"/>
    <n v="28"/>
    <x v="0"/>
    <x v="1"/>
    <x v="4"/>
    <s v="23-01-2025"/>
    <s v="14-02-2025"/>
    <s v="18-02-2025"/>
    <x v="1"/>
    <n v="60000"/>
    <n v="3"/>
    <n v="180000"/>
    <n v="117000"/>
    <x v="1"/>
    <x v="1"/>
    <n v="0"/>
    <x v="1"/>
    <x v="1"/>
    <x v="1"/>
    <n v="2025"/>
    <x v="1"/>
  </r>
  <r>
    <s v="B648"/>
    <s v="Vikas Shetty"/>
    <n v="44"/>
    <x v="0"/>
    <x v="4"/>
    <x v="2"/>
    <s v="10-04-2025"/>
    <s v="07-05-2025"/>
    <s v="15-05-2025"/>
    <x v="4"/>
    <n v="70000"/>
    <n v="3"/>
    <n v="210000"/>
    <n v="126000"/>
    <x v="1"/>
    <x v="1"/>
    <n v="0"/>
    <x v="1"/>
    <x v="1"/>
    <x v="4"/>
    <n v="2025"/>
    <x v="3"/>
  </r>
  <r>
    <s v="B649"/>
    <s v="Krishna Mishra"/>
    <n v="26"/>
    <x v="0"/>
    <x v="3"/>
    <x v="7"/>
    <s v="25-08-2025"/>
    <s v="06-09-2025"/>
    <s v="12-09-2025"/>
    <x v="3"/>
    <n v="120000"/>
    <n v="3"/>
    <n v="360000"/>
    <n v="234000"/>
    <x v="1"/>
    <x v="1"/>
    <n v="0"/>
    <x v="1"/>
    <x v="1"/>
    <x v="5"/>
    <n v="2025"/>
    <x v="1"/>
  </r>
  <r>
    <s v="B650"/>
    <s v="Vikas Das"/>
    <n v="27"/>
    <x v="0"/>
    <x v="0"/>
    <x v="16"/>
    <s v="21-08-2025"/>
    <s v="13-09-2025"/>
    <s v="19-09-2025"/>
    <x v="0"/>
    <n v="18000"/>
    <n v="2"/>
    <n v="36000"/>
    <n v="18000"/>
    <x v="1"/>
    <x v="1"/>
    <n v="0"/>
    <x v="1"/>
    <x v="1"/>
    <x v="5"/>
    <n v="2025"/>
    <x v="1"/>
  </r>
  <r>
    <s v="B651"/>
    <s v="Suresh Sharma"/>
    <n v="58"/>
    <x v="0"/>
    <x v="3"/>
    <x v="7"/>
    <s v="14-07-2025"/>
    <s v="25-07-2025"/>
    <s v="03-08-2025"/>
    <x v="3"/>
    <n v="120000"/>
    <n v="2"/>
    <n v="240000"/>
    <n v="156000"/>
    <x v="1"/>
    <x v="1"/>
    <n v="0"/>
    <x v="1"/>
    <x v="1"/>
    <x v="0"/>
    <n v="2025"/>
    <x v="4"/>
  </r>
  <r>
    <s v="B652"/>
    <s v="Vikas Sharma"/>
    <n v="20"/>
    <x v="0"/>
    <x v="0"/>
    <x v="19"/>
    <s v="20-02-2025"/>
    <s v="06-03-2025"/>
    <s v="15-03-2025"/>
    <x v="0"/>
    <n v="18000"/>
    <n v="4"/>
    <n v="72000"/>
    <n v="36000"/>
    <x v="1"/>
    <x v="1"/>
    <n v="0"/>
    <x v="1"/>
    <x v="1"/>
    <x v="7"/>
    <n v="2025"/>
    <x v="6"/>
  </r>
  <r>
    <s v="B653"/>
    <s v="Bhavna Sharma"/>
    <n v="60"/>
    <x v="1"/>
    <x v="0"/>
    <x v="12"/>
    <s v="26-02-2025"/>
    <s v="07-03-2025"/>
    <s v="16-03-2025"/>
    <x v="0"/>
    <n v="18000"/>
    <n v="3"/>
    <n v="54000"/>
    <n v="27000"/>
    <x v="1"/>
    <x v="1"/>
    <n v="0"/>
    <x v="1"/>
    <x v="1"/>
    <x v="7"/>
    <n v="2025"/>
    <x v="9"/>
  </r>
  <r>
    <s v="B654"/>
    <s v="Aarav Nair"/>
    <n v="19"/>
    <x v="0"/>
    <x v="3"/>
    <x v="9"/>
    <s v="31-03-2025"/>
    <s v="11-04-2025"/>
    <s v="14-04-2025"/>
    <x v="3"/>
    <n v="120000"/>
    <n v="3"/>
    <n v="360000"/>
    <n v="234000"/>
    <x v="0"/>
    <x v="4"/>
    <n v="54000"/>
    <x v="17"/>
    <x v="0"/>
    <x v="6"/>
    <n v="2025"/>
    <x v="8"/>
  </r>
  <r>
    <s v="B655"/>
    <s v="Payal Iyer"/>
    <n v="57"/>
    <x v="1"/>
    <x v="1"/>
    <x v="5"/>
    <s v="03-05-2025"/>
    <s v="31-05-2025"/>
    <s v="10-06-2025"/>
    <x v="1"/>
    <n v="60000"/>
    <n v="2"/>
    <n v="120000"/>
    <n v="78000"/>
    <x v="1"/>
    <x v="1"/>
    <n v="0"/>
    <x v="1"/>
    <x v="1"/>
    <x v="2"/>
    <n v="2025"/>
    <x v="4"/>
  </r>
  <r>
    <s v="B656"/>
    <s v="Shreya Khan"/>
    <n v="31"/>
    <x v="1"/>
    <x v="2"/>
    <x v="2"/>
    <s v="24-08-2025"/>
    <s v="06-09-2025"/>
    <s v="12-09-2025"/>
    <x v="2"/>
    <n v="80000"/>
    <n v="2"/>
    <n v="160000"/>
    <n v="96000"/>
    <x v="0"/>
    <x v="3"/>
    <n v="19200"/>
    <x v="3"/>
    <x v="0"/>
    <x v="5"/>
    <n v="2025"/>
    <x v="0"/>
  </r>
  <r>
    <s v="B657"/>
    <s v="Karan Kulkarni"/>
    <n v="44"/>
    <x v="0"/>
    <x v="4"/>
    <x v="8"/>
    <s v="20-02-2025"/>
    <s v="14-03-2025"/>
    <s v="23-03-2025"/>
    <x v="4"/>
    <n v="70000"/>
    <n v="3"/>
    <n v="210000"/>
    <n v="126000"/>
    <x v="1"/>
    <x v="1"/>
    <n v="0"/>
    <x v="1"/>
    <x v="1"/>
    <x v="7"/>
    <n v="2025"/>
    <x v="3"/>
  </r>
  <r>
    <s v="B658"/>
    <s v="Kavya Chowdhury"/>
    <n v="23"/>
    <x v="1"/>
    <x v="3"/>
    <x v="9"/>
    <s v="13-07-2025"/>
    <s v="18-07-2025"/>
    <s v="24-07-2025"/>
    <x v="3"/>
    <n v="120000"/>
    <n v="1"/>
    <n v="120000"/>
    <n v="78000"/>
    <x v="0"/>
    <x v="4"/>
    <n v="18000"/>
    <x v="4"/>
    <x v="0"/>
    <x v="0"/>
    <n v="2025"/>
    <x v="6"/>
  </r>
  <r>
    <s v="B659"/>
    <s v="Manish Khan"/>
    <n v="47"/>
    <x v="0"/>
    <x v="4"/>
    <x v="2"/>
    <s v="21-08-2025"/>
    <s v="02-09-2025"/>
    <s v="06-09-2025"/>
    <x v="4"/>
    <n v="70000"/>
    <n v="4"/>
    <n v="280000"/>
    <n v="168000"/>
    <x v="1"/>
    <x v="1"/>
    <n v="0"/>
    <x v="1"/>
    <x v="1"/>
    <x v="5"/>
    <n v="2025"/>
    <x v="2"/>
  </r>
  <r>
    <s v="B660"/>
    <s v="Ramesh Menon"/>
    <n v="38"/>
    <x v="0"/>
    <x v="3"/>
    <x v="3"/>
    <s v="15-03-2025"/>
    <s v="29-03-2025"/>
    <s v="06-04-2025"/>
    <x v="3"/>
    <n v="120000"/>
    <n v="1"/>
    <n v="120000"/>
    <n v="78000"/>
    <x v="1"/>
    <x v="1"/>
    <n v="0"/>
    <x v="1"/>
    <x v="1"/>
    <x v="6"/>
    <n v="2025"/>
    <x v="7"/>
  </r>
  <r>
    <s v="B661"/>
    <s v="Rohan Kapoor"/>
    <n v="57"/>
    <x v="0"/>
    <x v="4"/>
    <x v="10"/>
    <s v="20-04-2025"/>
    <s v="09-05-2025"/>
    <s v="12-05-2025"/>
    <x v="4"/>
    <n v="70000"/>
    <n v="2"/>
    <n v="140000"/>
    <n v="84000"/>
    <x v="1"/>
    <x v="1"/>
    <n v="0"/>
    <x v="1"/>
    <x v="1"/>
    <x v="4"/>
    <n v="2025"/>
    <x v="4"/>
  </r>
  <r>
    <s v="B662"/>
    <s v="Ananya Tripathi"/>
    <n v="28"/>
    <x v="1"/>
    <x v="2"/>
    <x v="13"/>
    <s v="20-06-2025"/>
    <s v="14-07-2025"/>
    <s v="24-07-2025"/>
    <x v="2"/>
    <n v="80000"/>
    <n v="2"/>
    <n v="160000"/>
    <n v="96000"/>
    <x v="1"/>
    <x v="1"/>
    <n v="0"/>
    <x v="1"/>
    <x v="1"/>
    <x v="3"/>
    <n v="2025"/>
    <x v="1"/>
  </r>
  <r>
    <s v="B663"/>
    <s v="Neha Nair"/>
    <n v="49"/>
    <x v="1"/>
    <x v="4"/>
    <x v="11"/>
    <s v="08-02-2025"/>
    <s v="15-02-2025"/>
    <s v="20-02-2025"/>
    <x v="4"/>
    <n v="70000"/>
    <n v="2"/>
    <n v="140000"/>
    <n v="84000"/>
    <x v="0"/>
    <x v="5"/>
    <n v="9800.0000000000018"/>
    <x v="7"/>
    <x v="0"/>
    <x v="7"/>
    <n v="2025"/>
    <x v="2"/>
  </r>
  <r>
    <s v="B664"/>
    <s v="Swati Iyer"/>
    <n v="59"/>
    <x v="1"/>
    <x v="3"/>
    <x v="10"/>
    <s v="25-07-2025"/>
    <s v="23-08-2025"/>
    <s v="31-08-2025"/>
    <x v="3"/>
    <n v="120000"/>
    <n v="4"/>
    <n v="480000"/>
    <n v="312000"/>
    <x v="1"/>
    <x v="1"/>
    <n v="0"/>
    <x v="1"/>
    <x v="1"/>
    <x v="0"/>
    <n v="2025"/>
    <x v="4"/>
  </r>
  <r>
    <s v="B665"/>
    <s v="Pooja Gupta"/>
    <n v="37"/>
    <x v="1"/>
    <x v="0"/>
    <x v="0"/>
    <s v="01-04-2025"/>
    <s v="14-04-2025"/>
    <s v="21-04-2025"/>
    <x v="0"/>
    <n v="18000"/>
    <n v="4"/>
    <n v="72000"/>
    <n v="36000"/>
    <x v="1"/>
    <x v="1"/>
    <n v="0"/>
    <x v="1"/>
    <x v="1"/>
    <x v="4"/>
    <n v="2025"/>
    <x v="7"/>
  </r>
  <r>
    <s v="B666"/>
    <s v="Kabir Nair"/>
    <n v="18"/>
    <x v="0"/>
    <x v="1"/>
    <x v="10"/>
    <s v="31-03-2025"/>
    <s v="18-04-2025"/>
    <s v="21-04-2025"/>
    <x v="1"/>
    <n v="60000"/>
    <n v="2"/>
    <n v="120000"/>
    <n v="78000"/>
    <x v="0"/>
    <x v="2"/>
    <n v="12000"/>
    <x v="6"/>
    <x v="0"/>
    <x v="6"/>
    <n v="2025"/>
    <x v="8"/>
  </r>
  <r>
    <s v="B667"/>
    <s v="Aarohi Joshi"/>
    <n v="25"/>
    <x v="1"/>
    <x v="2"/>
    <x v="13"/>
    <s v="05-06-2025"/>
    <s v="03-07-2025"/>
    <s v="06-07-2025"/>
    <x v="2"/>
    <n v="80000"/>
    <n v="2"/>
    <n v="160000"/>
    <n v="96000"/>
    <x v="0"/>
    <x v="3"/>
    <n v="19200"/>
    <x v="3"/>
    <x v="0"/>
    <x v="3"/>
    <n v="2025"/>
    <x v="1"/>
  </r>
  <r>
    <s v="B668"/>
    <s v="Arjun Reddy"/>
    <n v="23"/>
    <x v="0"/>
    <x v="4"/>
    <x v="10"/>
    <s v="22-01-2025"/>
    <s v="11-02-2025"/>
    <s v="18-02-2025"/>
    <x v="4"/>
    <n v="70000"/>
    <n v="2"/>
    <n v="140000"/>
    <n v="84000"/>
    <x v="1"/>
    <x v="1"/>
    <n v="0"/>
    <x v="1"/>
    <x v="1"/>
    <x v="1"/>
    <n v="2025"/>
    <x v="6"/>
  </r>
  <r>
    <s v="B669"/>
    <s v="Suresh Das"/>
    <n v="26"/>
    <x v="0"/>
    <x v="2"/>
    <x v="2"/>
    <s v="07-08-2025"/>
    <s v="12-08-2025"/>
    <s v="18-08-2025"/>
    <x v="2"/>
    <n v="80000"/>
    <n v="2"/>
    <n v="160000"/>
    <n v="96000"/>
    <x v="0"/>
    <x v="3"/>
    <n v="19200"/>
    <x v="3"/>
    <x v="0"/>
    <x v="5"/>
    <n v="2025"/>
    <x v="1"/>
  </r>
  <r>
    <s v="B670"/>
    <s v="Aarohi Agarwal"/>
    <n v="38"/>
    <x v="1"/>
    <x v="1"/>
    <x v="2"/>
    <s v="28-03-2025"/>
    <s v="07-04-2025"/>
    <s v="15-04-2025"/>
    <x v="1"/>
    <n v="60000"/>
    <n v="4"/>
    <n v="240000"/>
    <n v="156000"/>
    <x v="0"/>
    <x v="2"/>
    <n v="24000"/>
    <x v="2"/>
    <x v="0"/>
    <x v="6"/>
    <n v="2025"/>
    <x v="7"/>
  </r>
  <r>
    <s v="B671"/>
    <s v="Manish Tripathi"/>
    <n v="28"/>
    <x v="0"/>
    <x v="2"/>
    <x v="4"/>
    <s v="25-08-2025"/>
    <s v="09-09-2025"/>
    <s v="14-09-2025"/>
    <x v="2"/>
    <n v="80000"/>
    <n v="2"/>
    <n v="160000"/>
    <n v="96000"/>
    <x v="1"/>
    <x v="1"/>
    <n v="0"/>
    <x v="1"/>
    <x v="1"/>
    <x v="5"/>
    <n v="2025"/>
    <x v="1"/>
  </r>
  <r>
    <s v="B672"/>
    <s v="Sanya Jain"/>
    <n v="46"/>
    <x v="1"/>
    <x v="4"/>
    <x v="7"/>
    <s v="05-01-2025"/>
    <s v="18-01-2025"/>
    <s v="26-01-2025"/>
    <x v="4"/>
    <n v="70000"/>
    <n v="3"/>
    <n v="210000"/>
    <n v="126000"/>
    <x v="1"/>
    <x v="1"/>
    <n v="0"/>
    <x v="1"/>
    <x v="1"/>
    <x v="1"/>
    <n v="2025"/>
    <x v="2"/>
  </r>
  <r>
    <s v="B673"/>
    <s v="Suresh Kulkarni"/>
    <n v="38"/>
    <x v="0"/>
    <x v="0"/>
    <x v="17"/>
    <s v="13-07-2025"/>
    <s v="29-07-2025"/>
    <s v="06-08-2025"/>
    <x v="0"/>
    <n v="18000"/>
    <n v="3"/>
    <n v="54000"/>
    <n v="27000"/>
    <x v="1"/>
    <x v="1"/>
    <n v="0"/>
    <x v="1"/>
    <x v="1"/>
    <x v="0"/>
    <n v="2025"/>
    <x v="7"/>
  </r>
  <r>
    <s v="B674"/>
    <s v="Kavya Kulkarni"/>
    <n v="50"/>
    <x v="1"/>
    <x v="3"/>
    <x v="8"/>
    <s v="08-01-2025"/>
    <s v="30-01-2025"/>
    <s v="09-02-2025"/>
    <x v="3"/>
    <n v="120000"/>
    <n v="2"/>
    <n v="240000"/>
    <n v="156000"/>
    <x v="0"/>
    <x v="4"/>
    <n v="36000"/>
    <x v="8"/>
    <x v="0"/>
    <x v="1"/>
    <n v="2025"/>
    <x v="5"/>
  </r>
  <r>
    <s v="B675"/>
    <s v="Suresh Nair"/>
    <n v="27"/>
    <x v="0"/>
    <x v="2"/>
    <x v="13"/>
    <s v="27-01-2025"/>
    <s v="26-02-2025"/>
    <s v="06-03-2025"/>
    <x v="2"/>
    <n v="80000"/>
    <n v="4"/>
    <n v="320000"/>
    <n v="192000"/>
    <x v="0"/>
    <x v="3"/>
    <n v="38400"/>
    <x v="18"/>
    <x v="0"/>
    <x v="1"/>
    <n v="2025"/>
    <x v="1"/>
  </r>
  <r>
    <s v="B676"/>
    <s v="Komal Tripathi"/>
    <n v="57"/>
    <x v="1"/>
    <x v="1"/>
    <x v="10"/>
    <s v="28-08-2025"/>
    <s v="22-09-2025"/>
    <s v="26-09-2025"/>
    <x v="1"/>
    <n v="60000"/>
    <n v="3"/>
    <n v="180000"/>
    <n v="117000"/>
    <x v="1"/>
    <x v="1"/>
    <n v="0"/>
    <x v="1"/>
    <x v="1"/>
    <x v="5"/>
    <n v="2025"/>
    <x v="4"/>
  </r>
  <r>
    <s v="B677"/>
    <s v="Isha Joshi"/>
    <n v="58"/>
    <x v="1"/>
    <x v="4"/>
    <x v="13"/>
    <s v="07-04-2025"/>
    <s v="21-04-2025"/>
    <s v="26-04-2025"/>
    <x v="4"/>
    <n v="70000"/>
    <n v="3"/>
    <n v="210000"/>
    <n v="126000"/>
    <x v="0"/>
    <x v="5"/>
    <n v="14700.000000000002"/>
    <x v="13"/>
    <x v="0"/>
    <x v="4"/>
    <n v="2025"/>
    <x v="4"/>
  </r>
  <r>
    <s v="B678"/>
    <s v="Kabir Joshi"/>
    <n v="60"/>
    <x v="0"/>
    <x v="3"/>
    <x v="9"/>
    <s v="25-07-2025"/>
    <s v="11-08-2025"/>
    <s v="21-08-2025"/>
    <x v="3"/>
    <n v="120000"/>
    <n v="4"/>
    <n v="480000"/>
    <n v="312000"/>
    <x v="1"/>
    <x v="1"/>
    <n v="0"/>
    <x v="1"/>
    <x v="1"/>
    <x v="0"/>
    <n v="2025"/>
    <x v="9"/>
  </r>
  <r>
    <s v="B679"/>
    <s v="Sameer Gupta"/>
    <n v="58"/>
    <x v="0"/>
    <x v="3"/>
    <x v="8"/>
    <s v="04-01-2025"/>
    <s v="02-02-2025"/>
    <s v="06-02-2025"/>
    <x v="3"/>
    <n v="120000"/>
    <n v="1"/>
    <n v="120000"/>
    <n v="78000"/>
    <x v="1"/>
    <x v="1"/>
    <n v="0"/>
    <x v="1"/>
    <x v="1"/>
    <x v="1"/>
    <n v="2025"/>
    <x v="4"/>
  </r>
  <r>
    <s v="B680"/>
    <s v="Aarav Kulkarni"/>
    <n v="30"/>
    <x v="0"/>
    <x v="3"/>
    <x v="10"/>
    <s v="24-01-2025"/>
    <s v="06-02-2025"/>
    <s v="12-02-2025"/>
    <x v="3"/>
    <n v="120000"/>
    <n v="3"/>
    <n v="360000"/>
    <n v="234000"/>
    <x v="1"/>
    <x v="1"/>
    <n v="0"/>
    <x v="1"/>
    <x v="1"/>
    <x v="1"/>
    <n v="2025"/>
    <x v="0"/>
  </r>
  <r>
    <s v="B681"/>
    <s v="Rohan Nair"/>
    <n v="41"/>
    <x v="0"/>
    <x v="0"/>
    <x v="14"/>
    <s v="15-02-2025"/>
    <s v="05-03-2025"/>
    <s v="10-03-2025"/>
    <x v="0"/>
    <n v="18000"/>
    <n v="2"/>
    <n v="36000"/>
    <n v="18000"/>
    <x v="0"/>
    <x v="0"/>
    <n v="1800"/>
    <x v="14"/>
    <x v="0"/>
    <x v="7"/>
    <n v="2025"/>
    <x v="3"/>
  </r>
  <r>
    <s v="B682"/>
    <s v="Sunita Pandey"/>
    <n v="25"/>
    <x v="1"/>
    <x v="0"/>
    <x v="19"/>
    <s v="01-06-2025"/>
    <s v="06-06-2025"/>
    <s v="09-06-2025"/>
    <x v="0"/>
    <n v="18000"/>
    <n v="1"/>
    <n v="18000"/>
    <n v="9000"/>
    <x v="0"/>
    <x v="0"/>
    <n v="900"/>
    <x v="0"/>
    <x v="0"/>
    <x v="3"/>
    <n v="2025"/>
    <x v="1"/>
  </r>
  <r>
    <s v="B683"/>
    <s v="Manish Sharma"/>
    <n v="57"/>
    <x v="0"/>
    <x v="1"/>
    <x v="1"/>
    <s v="10-03-2025"/>
    <s v="23-03-2025"/>
    <s v="28-03-2025"/>
    <x v="1"/>
    <n v="60000"/>
    <n v="2"/>
    <n v="120000"/>
    <n v="78000"/>
    <x v="0"/>
    <x v="2"/>
    <n v="12000"/>
    <x v="6"/>
    <x v="0"/>
    <x v="6"/>
    <n v="2025"/>
    <x v="4"/>
  </r>
  <r>
    <s v="B684"/>
    <s v="Payal Patel"/>
    <n v="25"/>
    <x v="1"/>
    <x v="3"/>
    <x v="7"/>
    <s v="12-08-2025"/>
    <s v="11-09-2025"/>
    <s v="15-09-2025"/>
    <x v="3"/>
    <n v="120000"/>
    <n v="1"/>
    <n v="120000"/>
    <n v="78000"/>
    <x v="1"/>
    <x v="1"/>
    <n v="0"/>
    <x v="1"/>
    <x v="1"/>
    <x v="5"/>
    <n v="2025"/>
    <x v="1"/>
  </r>
  <r>
    <s v="B685"/>
    <s v="Nisha Iyer"/>
    <n v="22"/>
    <x v="1"/>
    <x v="3"/>
    <x v="10"/>
    <s v="16-08-2025"/>
    <s v="21-08-2025"/>
    <s v="26-08-2025"/>
    <x v="3"/>
    <n v="120000"/>
    <n v="1"/>
    <n v="120000"/>
    <n v="78000"/>
    <x v="0"/>
    <x v="4"/>
    <n v="18000"/>
    <x v="4"/>
    <x v="0"/>
    <x v="5"/>
    <n v="2025"/>
    <x v="6"/>
  </r>
  <r>
    <s v="B686"/>
    <s v="Aarohi Chowdhury"/>
    <n v="37"/>
    <x v="1"/>
    <x v="4"/>
    <x v="4"/>
    <s v="17-06-2025"/>
    <s v="06-07-2025"/>
    <s v="12-07-2025"/>
    <x v="4"/>
    <n v="70000"/>
    <n v="2"/>
    <n v="140000"/>
    <n v="84000"/>
    <x v="0"/>
    <x v="5"/>
    <n v="9800.0000000000018"/>
    <x v="7"/>
    <x v="0"/>
    <x v="3"/>
    <n v="2025"/>
    <x v="7"/>
  </r>
  <r>
    <s v="B687"/>
    <s v="Aarohi Jain"/>
    <n v="52"/>
    <x v="1"/>
    <x v="0"/>
    <x v="19"/>
    <s v="24-03-2025"/>
    <s v="12-04-2025"/>
    <s v="22-04-2025"/>
    <x v="0"/>
    <n v="18000"/>
    <n v="1"/>
    <n v="18000"/>
    <n v="9000"/>
    <x v="0"/>
    <x v="0"/>
    <n v="900"/>
    <x v="0"/>
    <x v="0"/>
    <x v="6"/>
    <n v="2025"/>
    <x v="5"/>
  </r>
  <r>
    <s v="B688"/>
    <s v="Deepak Jain"/>
    <n v="43"/>
    <x v="0"/>
    <x v="0"/>
    <x v="15"/>
    <s v="30-04-2025"/>
    <s v="27-05-2025"/>
    <s v="03-06-2025"/>
    <x v="0"/>
    <n v="18000"/>
    <n v="3"/>
    <n v="54000"/>
    <n v="27000"/>
    <x v="0"/>
    <x v="0"/>
    <n v="2700"/>
    <x v="5"/>
    <x v="0"/>
    <x v="4"/>
    <n v="2025"/>
    <x v="3"/>
  </r>
  <r>
    <s v="B689"/>
    <s v="Aditya Tripathi"/>
    <n v="43"/>
    <x v="0"/>
    <x v="4"/>
    <x v="2"/>
    <s v="05-06-2025"/>
    <s v="13-06-2025"/>
    <s v="20-06-2025"/>
    <x v="4"/>
    <n v="70000"/>
    <n v="2"/>
    <n v="140000"/>
    <n v="84000"/>
    <x v="0"/>
    <x v="5"/>
    <n v="9800.0000000000018"/>
    <x v="7"/>
    <x v="0"/>
    <x v="3"/>
    <n v="2025"/>
    <x v="3"/>
  </r>
  <r>
    <s v="B690"/>
    <s v="Shreya Jain"/>
    <n v="33"/>
    <x v="1"/>
    <x v="0"/>
    <x v="20"/>
    <s v="29-05-2025"/>
    <s v="28-06-2025"/>
    <s v="02-07-2025"/>
    <x v="0"/>
    <n v="18000"/>
    <n v="4"/>
    <n v="72000"/>
    <n v="36000"/>
    <x v="1"/>
    <x v="1"/>
    <n v="0"/>
    <x v="1"/>
    <x v="1"/>
    <x v="2"/>
    <n v="2025"/>
    <x v="0"/>
  </r>
  <r>
    <s v="B691"/>
    <s v="Meera Sharma"/>
    <n v="58"/>
    <x v="1"/>
    <x v="3"/>
    <x v="3"/>
    <s v="27-05-2025"/>
    <s v="03-06-2025"/>
    <s v="07-06-2025"/>
    <x v="3"/>
    <n v="120000"/>
    <n v="1"/>
    <n v="120000"/>
    <n v="78000"/>
    <x v="1"/>
    <x v="1"/>
    <n v="0"/>
    <x v="1"/>
    <x v="1"/>
    <x v="2"/>
    <n v="2025"/>
    <x v="4"/>
  </r>
  <r>
    <s v="B692"/>
    <s v="Pranav Joshi"/>
    <n v="31"/>
    <x v="0"/>
    <x v="2"/>
    <x v="5"/>
    <s v="26-02-2025"/>
    <s v="03-03-2025"/>
    <s v="10-03-2025"/>
    <x v="2"/>
    <n v="80000"/>
    <n v="2"/>
    <n v="160000"/>
    <n v="96000"/>
    <x v="0"/>
    <x v="3"/>
    <n v="19200"/>
    <x v="3"/>
    <x v="0"/>
    <x v="7"/>
    <n v="2025"/>
    <x v="0"/>
  </r>
  <r>
    <s v="B693"/>
    <s v="Deepak Kulkarni"/>
    <n v="20"/>
    <x v="0"/>
    <x v="0"/>
    <x v="13"/>
    <s v="25-05-2025"/>
    <s v="21-06-2025"/>
    <s v="29-06-2025"/>
    <x v="0"/>
    <n v="18000"/>
    <n v="1"/>
    <n v="18000"/>
    <n v="9000"/>
    <x v="0"/>
    <x v="0"/>
    <n v="900"/>
    <x v="0"/>
    <x v="0"/>
    <x v="2"/>
    <n v="2025"/>
    <x v="6"/>
  </r>
  <r>
    <s v="B694"/>
    <s v="Vivaan Menon"/>
    <n v="58"/>
    <x v="0"/>
    <x v="1"/>
    <x v="0"/>
    <s v="08-08-2025"/>
    <s v="13-08-2025"/>
    <s v="20-08-2025"/>
    <x v="1"/>
    <n v="60000"/>
    <n v="2"/>
    <n v="120000"/>
    <n v="78000"/>
    <x v="1"/>
    <x v="1"/>
    <n v="0"/>
    <x v="1"/>
    <x v="1"/>
    <x v="5"/>
    <n v="2025"/>
    <x v="4"/>
  </r>
  <r>
    <s v="B695"/>
    <s v="Aarav Iyer"/>
    <n v="26"/>
    <x v="0"/>
    <x v="2"/>
    <x v="0"/>
    <s v="24-04-2025"/>
    <s v="13-05-2025"/>
    <s v="21-05-2025"/>
    <x v="2"/>
    <n v="80000"/>
    <n v="2"/>
    <n v="160000"/>
    <n v="96000"/>
    <x v="1"/>
    <x v="1"/>
    <n v="0"/>
    <x v="1"/>
    <x v="1"/>
    <x v="4"/>
    <n v="2025"/>
    <x v="1"/>
  </r>
  <r>
    <s v="B696"/>
    <s v="Arjun Pandey"/>
    <n v="51"/>
    <x v="0"/>
    <x v="3"/>
    <x v="1"/>
    <s v="20-06-2025"/>
    <s v="07-07-2025"/>
    <s v="10-07-2025"/>
    <x v="3"/>
    <n v="120000"/>
    <n v="2"/>
    <n v="240000"/>
    <n v="156000"/>
    <x v="0"/>
    <x v="4"/>
    <n v="36000"/>
    <x v="8"/>
    <x v="0"/>
    <x v="3"/>
    <n v="2025"/>
    <x v="5"/>
  </r>
  <r>
    <s v="B697"/>
    <s v="Diya Menon"/>
    <n v="33"/>
    <x v="1"/>
    <x v="3"/>
    <x v="10"/>
    <s v="23-05-2025"/>
    <s v="19-06-2025"/>
    <s v="23-06-2025"/>
    <x v="3"/>
    <n v="120000"/>
    <n v="2"/>
    <n v="240000"/>
    <n v="156000"/>
    <x v="0"/>
    <x v="4"/>
    <n v="36000"/>
    <x v="8"/>
    <x v="0"/>
    <x v="2"/>
    <n v="2025"/>
    <x v="0"/>
  </r>
  <r>
    <s v="B698"/>
    <s v="Rahul Gupta"/>
    <n v="28"/>
    <x v="0"/>
    <x v="3"/>
    <x v="8"/>
    <s v="20-06-2025"/>
    <s v="01-07-2025"/>
    <s v="08-07-2025"/>
    <x v="3"/>
    <n v="120000"/>
    <n v="3"/>
    <n v="360000"/>
    <n v="234000"/>
    <x v="1"/>
    <x v="1"/>
    <n v="0"/>
    <x v="1"/>
    <x v="1"/>
    <x v="3"/>
    <n v="2025"/>
    <x v="1"/>
  </r>
  <r>
    <s v="B699"/>
    <s v="Siddharth Agarwal"/>
    <n v="27"/>
    <x v="0"/>
    <x v="1"/>
    <x v="7"/>
    <s v="10-04-2025"/>
    <s v="16-04-2025"/>
    <s v="25-04-2025"/>
    <x v="1"/>
    <n v="60000"/>
    <n v="3"/>
    <n v="180000"/>
    <n v="117000"/>
    <x v="0"/>
    <x v="2"/>
    <n v="18000"/>
    <x v="12"/>
    <x v="0"/>
    <x v="4"/>
    <n v="2025"/>
    <x v="1"/>
  </r>
  <r>
    <s v="B700"/>
    <s v="Aarohi Shetty"/>
    <n v="54"/>
    <x v="1"/>
    <x v="4"/>
    <x v="10"/>
    <s v="20-06-2025"/>
    <s v="14-07-2025"/>
    <s v="21-07-2025"/>
    <x v="4"/>
    <n v="70000"/>
    <n v="4"/>
    <n v="280000"/>
    <n v="168000"/>
    <x v="1"/>
    <x v="1"/>
    <n v="0"/>
    <x v="1"/>
    <x v="1"/>
    <x v="3"/>
    <n v="2025"/>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B8B19F-58A3-4FBA-9D39-E75A6AA51F72}" name="PivotTable22"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29" rowHeaderCaption="Destinations">
  <location ref="D3:E12" firstHeaderRow="1" firstDataRow="1" firstDataCol="1"/>
  <pivotFields count="22">
    <pivotField showAll="0"/>
    <pivotField showAll="0"/>
    <pivotField showAll="0"/>
    <pivotField showAll="0"/>
    <pivotField showAll="0">
      <items count="6">
        <item x="1"/>
        <item x="0"/>
        <item x="4"/>
        <item x="2"/>
        <item x="3"/>
        <item t="default"/>
      </items>
    </pivotField>
    <pivotField axis="axisRow" showAll="0">
      <items count="22">
        <item x="6"/>
        <item x="16"/>
        <item x="7"/>
        <item x="2"/>
        <item x="5"/>
        <item x="9"/>
        <item x="3"/>
        <item x="19"/>
        <item h="1" x="4"/>
        <item h="1" x="12"/>
        <item h="1" x="1"/>
        <item h="1" x="0"/>
        <item h="1" x="18"/>
        <item h="1" x="15"/>
        <item h="1" x="11"/>
        <item h="1" x="13"/>
        <item h="1" x="17"/>
        <item h="1" x="10"/>
        <item h="1" x="8"/>
        <item h="1" x="20"/>
        <item h="1" x="14"/>
        <item t="default"/>
      </items>
    </pivotField>
    <pivotField showAll="0"/>
    <pivotField showAll="0"/>
    <pivotField showAll="0"/>
    <pivotField showAll="0"/>
    <pivotField numFmtId="164" showAll="0"/>
    <pivotField showAll="0"/>
    <pivotField numFmtId="164" showAll="0"/>
    <pivotField numFmtId="164" showAll="0"/>
    <pivotField showAll="0"/>
    <pivotField numFmtId="9" showAll="0"/>
    <pivotField numFmtId="164" showAll="0"/>
    <pivotField dataField="1" numFmtId="164" showAll="0"/>
    <pivotField showAll="0"/>
    <pivotField showAll="0">
      <items count="9">
        <item x="1"/>
        <item x="7"/>
        <item x="6"/>
        <item x="4"/>
        <item x="2"/>
        <item x="3"/>
        <item x="0"/>
        <item x="5"/>
        <item t="default"/>
      </items>
    </pivotField>
    <pivotField showAll="0"/>
    <pivotField showAll="0">
      <items count="11">
        <item x="8"/>
        <item x="6"/>
        <item x="1"/>
        <item x="0"/>
        <item x="7"/>
        <item x="3"/>
        <item x="2"/>
        <item x="5"/>
        <item x="4"/>
        <item x="9"/>
        <item t="default"/>
      </items>
    </pivotField>
  </pivotFields>
  <rowFields count="1">
    <field x="5"/>
  </rowFields>
  <rowItems count="9">
    <i>
      <x/>
    </i>
    <i>
      <x v="1"/>
    </i>
    <i>
      <x v="2"/>
    </i>
    <i>
      <x v="3"/>
    </i>
    <i>
      <x v="4"/>
    </i>
    <i>
      <x v="5"/>
    </i>
    <i>
      <x v="6"/>
    </i>
    <i>
      <x v="7"/>
    </i>
    <i t="grand">
      <x/>
    </i>
  </rowItems>
  <colItems count="1">
    <i/>
  </colItems>
  <dataFields count="1">
    <dataField name="Sum of Net Revenue" fld="17" baseField="0" baseItem="0"/>
  </dataFields>
  <formats count="12">
    <format dxfId="255">
      <pivotArea type="all" dataOnly="0" outline="0" fieldPosition="0"/>
    </format>
    <format dxfId="254">
      <pivotArea outline="0" collapsedLevelsAreSubtotals="1" fieldPosition="0"/>
    </format>
    <format dxfId="253">
      <pivotArea field="5" type="button" dataOnly="0" labelOnly="1" outline="0" axis="axisRow" fieldPosition="0"/>
    </format>
    <format dxfId="252">
      <pivotArea dataOnly="0" labelOnly="1" fieldPosition="0">
        <references count="1">
          <reference field="5" count="5">
            <x v="3"/>
            <x v="10"/>
            <x v="14"/>
            <x v="17"/>
            <x v="18"/>
          </reference>
        </references>
      </pivotArea>
    </format>
    <format dxfId="251">
      <pivotArea dataOnly="0" labelOnly="1" grandRow="1" outline="0" fieldPosition="0"/>
    </format>
    <format dxfId="250">
      <pivotArea dataOnly="0" labelOnly="1" outline="0" axis="axisValues" fieldPosition="0"/>
    </format>
    <format dxfId="249">
      <pivotArea type="all" dataOnly="0" outline="0" fieldPosition="0"/>
    </format>
    <format dxfId="248">
      <pivotArea outline="0" collapsedLevelsAreSubtotals="1" fieldPosition="0"/>
    </format>
    <format dxfId="247">
      <pivotArea field="5" type="button" dataOnly="0" labelOnly="1" outline="0" axis="axisRow" fieldPosition="0"/>
    </format>
    <format dxfId="246">
      <pivotArea dataOnly="0" labelOnly="1" fieldPosition="0">
        <references count="1">
          <reference field="5" count="5">
            <x v="3"/>
            <x v="10"/>
            <x v="14"/>
            <x v="17"/>
            <x v="18"/>
          </reference>
        </references>
      </pivotArea>
    </format>
    <format dxfId="245">
      <pivotArea dataOnly="0" labelOnly="1" grandRow="1" outline="0" fieldPosition="0"/>
    </format>
    <format dxfId="244">
      <pivotArea dataOnly="0" labelOnly="1" outline="0" axis="axisValues" fieldPosition="0"/>
    </format>
  </formats>
  <chartFormats count="1">
    <chartFormat chart="4" format="3" series="1">
      <pivotArea type="data" outline="0" fieldPosition="0">
        <references count="1">
          <reference field="4294967294" count="1" selected="0">
            <x v="0"/>
          </reference>
        </references>
      </pivotArea>
    </chartFormat>
  </chart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7D5EFE-4138-4A7D-9EBB-42D3299B046F}" name="PivotTable21"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4" rowHeaderCaption="Package">
  <location ref="A16:B22" firstHeaderRow="1" firstDataRow="1" firstDataCol="1"/>
  <pivotFields count="22">
    <pivotField dataField="1" showAll="0"/>
    <pivotField showAll="0"/>
    <pivotField showAll="0"/>
    <pivotField showAll="0"/>
    <pivotField axis="axisRow" showAll="0">
      <items count="6">
        <item x="1"/>
        <item x="0"/>
        <item x="4"/>
        <item x="2"/>
        <item x="3"/>
        <item t="default"/>
      </items>
    </pivotField>
    <pivotField showAll="0"/>
    <pivotField showAll="0"/>
    <pivotField showAll="0"/>
    <pivotField showAll="0"/>
    <pivotField showAll="0"/>
    <pivotField numFmtId="164" showAll="0"/>
    <pivotField showAll="0"/>
    <pivotField numFmtId="164" showAll="0"/>
    <pivotField numFmtId="164" showAll="0"/>
    <pivotField showAll="0"/>
    <pivotField numFmtId="9" showAll="0"/>
    <pivotField numFmtId="164" showAll="0"/>
    <pivotField numFmtId="164" showAll="0"/>
    <pivotField showAll="0"/>
    <pivotField showAll="0">
      <items count="9">
        <item x="1"/>
        <item x="7"/>
        <item x="6"/>
        <item x="4"/>
        <item x="2"/>
        <item x="3"/>
        <item x="0"/>
        <item x="5"/>
        <item t="default"/>
      </items>
    </pivotField>
    <pivotField showAll="0"/>
    <pivotField showAll="0">
      <items count="11">
        <item x="8"/>
        <item x="6"/>
        <item x="1"/>
        <item x="0"/>
        <item x="7"/>
        <item x="3"/>
        <item x="2"/>
        <item x="5"/>
        <item x="4"/>
        <item x="9"/>
        <item t="default"/>
      </items>
    </pivotField>
  </pivotFields>
  <rowFields count="1">
    <field x="4"/>
  </rowFields>
  <rowItems count="6">
    <i>
      <x/>
    </i>
    <i>
      <x v="1"/>
    </i>
    <i>
      <x v="2"/>
    </i>
    <i>
      <x v="3"/>
    </i>
    <i>
      <x v="4"/>
    </i>
    <i t="grand">
      <x/>
    </i>
  </rowItems>
  <colItems count="1">
    <i/>
  </colItems>
  <dataFields count="1">
    <dataField name="Count of Booking ID" fld="0" subtotal="count" baseField="0" baseItem="0"/>
  </dataFields>
  <formats count="12">
    <format dxfId="267">
      <pivotArea type="all" dataOnly="0" outline="0" fieldPosition="0"/>
    </format>
    <format dxfId="266">
      <pivotArea outline="0" collapsedLevelsAreSubtotals="1" fieldPosition="0"/>
    </format>
    <format dxfId="265">
      <pivotArea field="4" type="button" dataOnly="0" labelOnly="1" outline="0" axis="axisRow" fieldPosition="0"/>
    </format>
    <format dxfId="264">
      <pivotArea dataOnly="0" labelOnly="1" fieldPosition="0">
        <references count="1">
          <reference field="4" count="0"/>
        </references>
      </pivotArea>
    </format>
    <format dxfId="263">
      <pivotArea dataOnly="0" labelOnly="1" grandRow="1" outline="0" fieldPosition="0"/>
    </format>
    <format dxfId="262">
      <pivotArea dataOnly="0" labelOnly="1" outline="0" axis="axisValues" fieldPosition="0"/>
    </format>
    <format dxfId="261">
      <pivotArea type="all" dataOnly="0" outline="0" fieldPosition="0"/>
    </format>
    <format dxfId="260">
      <pivotArea outline="0" collapsedLevelsAreSubtotals="1" fieldPosition="0"/>
    </format>
    <format dxfId="259">
      <pivotArea field="4" type="button" dataOnly="0" labelOnly="1" outline="0" axis="axisRow" fieldPosition="0"/>
    </format>
    <format dxfId="258">
      <pivotArea dataOnly="0" labelOnly="1" fieldPosition="0">
        <references count="1">
          <reference field="4" count="0"/>
        </references>
      </pivotArea>
    </format>
    <format dxfId="257">
      <pivotArea dataOnly="0" labelOnly="1" grandRow="1" outline="0" fieldPosition="0"/>
    </format>
    <format dxfId="256">
      <pivotArea dataOnly="0" labelOnly="1" outline="0" axis="axisValues" fieldPosition="0"/>
    </format>
  </formats>
  <chartFormats count="6">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4" count="1" selected="0">
            <x v="0"/>
          </reference>
        </references>
      </pivotArea>
    </chartFormat>
    <chartFormat chart="4" format="9">
      <pivotArea type="data" outline="0" fieldPosition="0">
        <references count="2">
          <reference field="4294967294" count="1" selected="0">
            <x v="0"/>
          </reference>
          <reference field="4" count="1" selected="0">
            <x v="1"/>
          </reference>
        </references>
      </pivotArea>
    </chartFormat>
    <chartFormat chart="4" format="10">
      <pivotArea type="data" outline="0" fieldPosition="0">
        <references count="2">
          <reference field="4294967294" count="1" selected="0">
            <x v="0"/>
          </reference>
          <reference field="4" count="1" selected="0">
            <x v="2"/>
          </reference>
        </references>
      </pivotArea>
    </chartFormat>
    <chartFormat chart="4" format="11">
      <pivotArea type="data" outline="0" fieldPosition="0">
        <references count="2">
          <reference field="4294967294" count="1" selected="0">
            <x v="0"/>
          </reference>
          <reference field="4" count="1" selected="0">
            <x v="3"/>
          </reference>
        </references>
      </pivotArea>
    </chartFormat>
    <chartFormat chart="4" format="12">
      <pivotArea type="data" outline="0" fieldPosition="0">
        <references count="2">
          <reference field="4294967294" count="1" selected="0">
            <x v="0"/>
          </reference>
          <reference field="4" count="1" selected="0">
            <x v="4"/>
          </reference>
        </references>
      </pivotArea>
    </chartFormat>
  </chart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A53D050-551B-41A8-9EAA-9A333F7A43DE}" name="PivotTable23"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7" rowHeaderCaption="Age Group">
  <location ref="G3:H14" firstHeaderRow="1" firstDataRow="1" firstDataCol="1"/>
  <pivotFields count="22">
    <pivotField showAll="0"/>
    <pivotField showAll="0"/>
    <pivotField showAll="0"/>
    <pivotField showAll="0">
      <items count="3">
        <item h="1" x="1"/>
        <item x="0"/>
        <item t="default"/>
      </items>
    </pivotField>
    <pivotField showAll="0">
      <items count="6">
        <item x="1"/>
        <item x="0"/>
        <item x="4"/>
        <item x="2"/>
        <item x="3"/>
        <item t="default"/>
      </items>
    </pivotField>
    <pivotField showAll="0"/>
    <pivotField showAll="0"/>
    <pivotField showAll="0"/>
    <pivotField showAll="0"/>
    <pivotField showAll="0"/>
    <pivotField numFmtId="164" showAll="0"/>
    <pivotField showAll="0"/>
    <pivotField numFmtId="164" showAll="0"/>
    <pivotField numFmtId="164" showAll="0"/>
    <pivotField showAll="0"/>
    <pivotField numFmtId="9" showAll="0"/>
    <pivotField numFmtId="164" showAll="0"/>
    <pivotField dataField="1" numFmtId="164" showAll="0"/>
    <pivotField showAll="0"/>
    <pivotField showAll="0">
      <items count="9">
        <item x="1"/>
        <item x="7"/>
        <item x="6"/>
        <item x="4"/>
        <item x="2"/>
        <item x="3"/>
        <item x="0"/>
        <item x="5"/>
        <item t="default"/>
      </items>
    </pivotField>
    <pivotField showAll="0"/>
    <pivotField axis="axisRow" showAll="0">
      <items count="11">
        <item x="8"/>
        <item x="6"/>
        <item x="1"/>
        <item x="0"/>
        <item x="7"/>
        <item x="3"/>
        <item x="2"/>
        <item x="5"/>
        <item x="4"/>
        <item x="9"/>
        <item t="default"/>
      </items>
    </pivotField>
  </pivotFields>
  <rowFields count="1">
    <field x="21"/>
  </rowFields>
  <rowItems count="11">
    <i>
      <x/>
    </i>
    <i>
      <x v="1"/>
    </i>
    <i>
      <x v="2"/>
    </i>
    <i>
      <x v="3"/>
    </i>
    <i>
      <x v="4"/>
    </i>
    <i>
      <x v="5"/>
    </i>
    <i>
      <x v="6"/>
    </i>
    <i>
      <x v="7"/>
    </i>
    <i>
      <x v="8"/>
    </i>
    <i>
      <x v="9"/>
    </i>
    <i t="grand">
      <x/>
    </i>
  </rowItems>
  <colItems count="1">
    <i/>
  </colItems>
  <dataFields count="1">
    <dataField name="Sum of Net Revenue" fld="17" baseField="0" baseItem="0"/>
  </dataFields>
  <formats count="12">
    <format dxfId="279">
      <pivotArea type="all" dataOnly="0" outline="0" fieldPosition="0"/>
    </format>
    <format dxfId="278">
      <pivotArea outline="0" collapsedLevelsAreSubtotals="1" fieldPosition="0"/>
    </format>
    <format dxfId="277">
      <pivotArea field="21" type="button" dataOnly="0" labelOnly="1" outline="0" axis="axisRow" fieldPosition="0"/>
    </format>
    <format dxfId="276">
      <pivotArea dataOnly="0" labelOnly="1" fieldPosition="0">
        <references count="1">
          <reference field="21" count="0"/>
        </references>
      </pivotArea>
    </format>
    <format dxfId="275">
      <pivotArea dataOnly="0" labelOnly="1" grandRow="1" outline="0" fieldPosition="0"/>
    </format>
    <format dxfId="274">
      <pivotArea dataOnly="0" labelOnly="1" outline="0" axis="axisValues" fieldPosition="0"/>
    </format>
    <format dxfId="273">
      <pivotArea type="all" dataOnly="0" outline="0" fieldPosition="0"/>
    </format>
    <format dxfId="272">
      <pivotArea outline="0" collapsedLevelsAreSubtotals="1" fieldPosition="0"/>
    </format>
    <format dxfId="271">
      <pivotArea field="21" type="button" dataOnly="0" labelOnly="1" outline="0" axis="axisRow" fieldPosition="0"/>
    </format>
    <format dxfId="270">
      <pivotArea dataOnly="0" labelOnly="1" fieldPosition="0">
        <references count="1">
          <reference field="21" count="0"/>
        </references>
      </pivotArea>
    </format>
    <format dxfId="269">
      <pivotArea dataOnly="0" labelOnly="1" grandRow="1" outline="0" fieldPosition="0"/>
    </format>
    <format dxfId="268">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F4E781B-680C-46DB-9E39-328AC761A0B7}" name="PivotTable30"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5" rowHeaderCaption="Profit_Loss">
  <location ref="K20:L23" firstHeaderRow="1" firstDataRow="1" firstDataCol="1"/>
  <pivotFields count="22">
    <pivotField showAll="0"/>
    <pivotField showAll="0"/>
    <pivotField showAll="0"/>
    <pivotField showAll="0"/>
    <pivotField showAll="0">
      <items count="6">
        <item x="1"/>
        <item x="0"/>
        <item x="4"/>
        <item x="2"/>
        <item x="3"/>
        <item t="default"/>
      </items>
    </pivotField>
    <pivotField showAll="0"/>
    <pivotField showAll="0"/>
    <pivotField showAll="0"/>
    <pivotField showAll="0"/>
    <pivotField showAll="0"/>
    <pivotField numFmtId="164" showAll="0"/>
    <pivotField showAll="0"/>
    <pivotField numFmtId="164" showAll="0"/>
    <pivotField numFmtId="164" showAll="0"/>
    <pivotField showAll="0"/>
    <pivotField numFmtId="9" showAll="0"/>
    <pivotField numFmtId="164" showAll="0"/>
    <pivotField dataField="1" numFmtId="164" showAll="0"/>
    <pivotField axis="axisRow" showAll="0">
      <items count="3">
        <item x="1"/>
        <item x="0"/>
        <item t="default"/>
      </items>
    </pivotField>
    <pivotField showAll="0">
      <items count="9">
        <item x="1"/>
        <item x="7"/>
        <item x="6"/>
        <item x="4"/>
        <item x="2"/>
        <item x="3"/>
        <item x="0"/>
        <item x="5"/>
        <item t="default"/>
      </items>
    </pivotField>
    <pivotField showAll="0"/>
    <pivotField showAll="0">
      <items count="11">
        <item x="8"/>
        <item x="6"/>
        <item x="1"/>
        <item x="0"/>
        <item x="7"/>
        <item x="3"/>
        <item x="2"/>
        <item x="5"/>
        <item x="4"/>
        <item x="9"/>
        <item t="default"/>
      </items>
    </pivotField>
  </pivotFields>
  <rowFields count="1">
    <field x="18"/>
  </rowFields>
  <rowItems count="3">
    <i>
      <x/>
    </i>
    <i>
      <x v="1"/>
    </i>
    <i t="grand">
      <x/>
    </i>
  </rowItems>
  <colItems count="1">
    <i/>
  </colItems>
  <dataFields count="1">
    <dataField name="Sum of Net Revenue" fld="17" baseField="0" baseItem="0"/>
  </dataFields>
  <formats count="12">
    <format dxfId="291">
      <pivotArea type="all" dataOnly="0" outline="0" fieldPosition="0"/>
    </format>
    <format dxfId="290">
      <pivotArea outline="0" collapsedLevelsAreSubtotals="1" fieldPosition="0"/>
    </format>
    <format dxfId="289">
      <pivotArea field="18" type="button" dataOnly="0" labelOnly="1" outline="0" axis="axisRow" fieldPosition="0"/>
    </format>
    <format dxfId="288">
      <pivotArea dataOnly="0" labelOnly="1" fieldPosition="0">
        <references count="1">
          <reference field="18" count="0"/>
        </references>
      </pivotArea>
    </format>
    <format dxfId="287">
      <pivotArea dataOnly="0" labelOnly="1" grandRow="1" outline="0" fieldPosition="0"/>
    </format>
    <format dxfId="286">
      <pivotArea dataOnly="0" labelOnly="1" outline="0" axis="axisValues" fieldPosition="0"/>
    </format>
    <format dxfId="285">
      <pivotArea type="all" dataOnly="0" outline="0" fieldPosition="0"/>
    </format>
    <format dxfId="284">
      <pivotArea outline="0" collapsedLevelsAreSubtotals="1" fieldPosition="0"/>
    </format>
    <format dxfId="283">
      <pivotArea field="18" type="button" dataOnly="0" labelOnly="1" outline="0" axis="axisRow" fieldPosition="0"/>
    </format>
    <format dxfId="282">
      <pivotArea dataOnly="0" labelOnly="1" fieldPosition="0">
        <references count="1">
          <reference field="18" count="0"/>
        </references>
      </pivotArea>
    </format>
    <format dxfId="281">
      <pivotArea dataOnly="0" labelOnly="1" grandRow="1" outline="0" fieldPosition="0"/>
    </format>
    <format dxfId="280">
      <pivotArea dataOnly="0" labelOnly="1" outline="0" axis="axisValues" fieldPosition="0"/>
    </format>
  </formats>
  <chartFormats count="3">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8" count="1" selected="0">
            <x v="0"/>
          </reference>
        </references>
      </pivotArea>
    </chartFormat>
    <chartFormat chart="4" format="6">
      <pivotArea type="data" outline="0" fieldPosition="0">
        <references count="2">
          <reference field="4294967294" count="1" selected="0">
            <x v="0"/>
          </reference>
          <reference field="18" count="1" selected="0">
            <x v="1"/>
          </reference>
        </references>
      </pivotArea>
    </chartFormat>
  </chart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735FC3F-11AD-4A80-BDDA-D6F646AC0928}" name="PivotTable25"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3" rowHeaderCaption="Status">
  <location ref="D13:E16" firstHeaderRow="1" firstDataRow="1" firstDataCol="1"/>
  <pivotFields count="22">
    <pivotField dataField="1" showAll="0"/>
    <pivotField showAll="0"/>
    <pivotField showAll="0"/>
    <pivotField showAll="0"/>
    <pivotField showAll="0">
      <items count="6">
        <item x="1"/>
        <item x="0"/>
        <item x="4"/>
        <item x="2"/>
        <item x="3"/>
        <item t="default"/>
      </items>
    </pivotField>
    <pivotField showAll="0"/>
    <pivotField showAll="0"/>
    <pivotField showAll="0"/>
    <pivotField showAll="0"/>
    <pivotField showAll="0"/>
    <pivotField numFmtId="164" showAll="0"/>
    <pivotField showAll="0"/>
    <pivotField numFmtId="164" showAll="0"/>
    <pivotField numFmtId="164" showAll="0"/>
    <pivotField axis="axisRow" showAll="0">
      <items count="3">
        <item x="0"/>
        <item x="1"/>
        <item t="default"/>
      </items>
    </pivotField>
    <pivotField numFmtId="9" showAll="0"/>
    <pivotField numFmtId="164" showAll="0"/>
    <pivotField numFmtId="164" showAll="0"/>
    <pivotField showAll="0"/>
    <pivotField showAll="0">
      <items count="9">
        <item x="1"/>
        <item x="7"/>
        <item x="6"/>
        <item x="4"/>
        <item x="2"/>
        <item x="3"/>
        <item x="0"/>
        <item x="5"/>
        <item t="default"/>
      </items>
    </pivotField>
    <pivotField showAll="0"/>
    <pivotField showAll="0">
      <items count="11">
        <item x="8"/>
        <item x="6"/>
        <item x="1"/>
        <item x="0"/>
        <item x="7"/>
        <item x="3"/>
        <item x="2"/>
        <item x="5"/>
        <item x="4"/>
        <item x="9"/>
        <item t="default"/>
      </items>
    </pivotField>
  </pivotFields>
  <rowFields count="1">
    <field x="14"/>
  </rowFields>
  <rowItems count="3">
    <i>
      <x/>
    </i>
    <i>
      <x v="1"/>
    </i>
    <i t="grand">
      <x/>
    </i>
  </rowItems>
  <colItems count="1">
    <i/>
  </colItems>
  <dataFields count="1">
    <dataField name="Count of Booking ID" fld="0" subtotal="count" baseField="14" baseItem="0"/>
  </dataFields>
  <formats count="12">
    <format dxfId="303">
      <pivotArea type="all" dataOnly="0" outline="0" fieldPosition="0"/>
    </format>
    <format dxfId="302">
      <pivotArea outline="0" collapsedLevelsAreSubtotals="1" fieldPosition="0"/>
    </format>
    <format dxfId="301">
      <pivotArea field="14" type="button" dataOnly="0" labelOnly="1" outline="0" axis="axisRow" fieldPosition="0"/>
    </format>
    <format dxfId="300">
      <pivotArea dataOnly="0" labelOnly="1" fieldPosition="0">
        <references count="1">
          <reference field="14" count="0"/>
        </references>
      </pivotArea>
    </format>
    <format dxfId="299">
      <pivotArea dataOnly="0" labelOnly="1" grandRow="1" outline="0" fieldPosition="0"/>
    </format>
    <format dxfId="298">
      <pivotArea dataOnly="0" labelOnly="1" outline="0" axis="axisValues" fieldPosition="0"/>
    </format>
    <format dxfId="297">
      <pivotArea type="all" dataOnly="0" outline="0" fieldPosition="0"/>
    </format>
    <format dxfId="296">
      <pivotArea outline="0" collapsedLevelsAreSubtotals="1" fieldPosition="0"/>
    </format>
    <format dxfId="295">
      <pivotArea field="14" type="button" dataOnly="0" labelOnly="1" outline="0" axis="axisRow" fieldPosition="0"/>
    </format>
    <format dxfId="294">
      <pivotArea dataOnly="0" labelOnly="1" fieldPosition="0">
        <references count="1">
          <reference field="14" count="0"/>
        </references>
      </pivotArea>
    </format>
    <format dxfId="293">
      <pivotArea dataOnly="0" labelOnly="1" grandRow="1" outline="0" fieldPosition="0"/>
    </format>
    <format dxfId="292">
      <pivotArea dataOnly="0" labelOnly="1" outline="0" axis="axisValues" fieldPosition="0"/>
    </format>
  </formats>
  <chartFormats count="3">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4" count="1" selected="0">
            <x v="0"/>
          </reference>
        </references>
      </pivotArea>
    </chartFormat>
    <chartFormat chart="4" format="6">
      <pivotArea type="data" outline="0" fieldPosition="0">
        <references count="2">
          <reference field="4294967294" count="1" selected="0">
            <x v="0"/>
          </reference>
          <reference field="14" count="1" selected="0">
            <x v="1"/>
          </reference>
        </references>
      </pivotArea>
    </chartFormat>
  </chart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4FCF7AE-166F-445C-B743-2BDFFBD6C075}" name="PivotTable27"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9" rowHeaderCaption="Discount%">
  <location ref="G18:I25" firstHeaderRow="0" firstDataRow="1" firstDataCol="1"/>
  <pivotFields count="22">
    <pivotField showAll="0"/>
    <pivotField showAll="0"/>
    <pivotField showAll="0"/>
    <pivotField showAll="0"/>
    <pivotField showAll="0">
      <items count="6">
        <item x="1"/>
        <item x="0"/>
        <item x="4"/>
        <item x="2"/>
        <item x="3"/>
        <item t="default"/>
      </items>
    </pivotField>
    <pivotField showAll="0"/>
    <pivotField showAll="0"/>
    <pivotField showAll="0"/>
    <pivotField showAll="0"/>
    <pivotField showAll="0"/>
    <pivotField numFmtId="164" showAll="0"/>
    <pivotField showAll="0"/>
    <pivotField numFmtId="164" showAll="0"/>
    <pivotField numFmtId="164" showAll="0"/>
    <pivotField showAll="0"/>
    <pivotField axis="axisRow" numFmtId="9" showAll="0">
      <items count="7">
        <item x="1"/>
        <item x="0"/>
        <item x="5"/>
        <item x="2"/>
        <item x="3"/>
        <item x="4"/>
        <item t="default"/>
      </items>
    </pivotField>
    <pivotField dataField="1" numFmtId="164" showAll="0"/>
    <pivotField dataField="1" numFmtId="164" showAll="0"/>
    <pivotField showAll="0"/>
    <pivotField showAll="0">
      <items count="9">
        <item x="1"/>
        <item x="7"/>
        <item x="6"/>
        <item x="4"/>
        <item x="2"/>
        <item x="3"/>
        <item x="0"/>
        <item x="5"/>
        <item t="default"/>
      </items>
    </pivotField>
    <pivotField showAll="0"/>
    <pivotField showAll="0">
      <items count="11">
        <item x="8"/>
        <item x="6"/>
        <item x="1"/>
        <item x="0"/>
        <item x="7"/>
        <item x="3"/>
        <item x="2"/>
        <item x="5"/>
        <item x="4"/>
        <item x="9"/>
        <item t="default"/>
      </items>
    </pivotField>
  </pivotFields>
  <rowFields count="1">
    <field x="15"/>
  </rowFields>
  <rowItems count="7">
    <i>
      <x/>
    </i>
    <i>
      <x v="1"/>
    </i>
    <i>
      <x v="2"/>
    </i>
    <i>
      <x v="3"/>
    </i>
    <i>
      <x v="4"/>
    </i>
    <i>
      <x v="5"/>
    </i>
    <i t="grand">
      <x/>
    </i>
  </rowItems>
  <colFields count="1">
    <field x="-2"/>
  </colFields>
  <colItems count="2">
    <i>
      <x/>
    </i>
    <i i="1">
      <x v="1"/>
    </i>
  </colItems>
  <dataFields count="2">
    <dataField name="Sum of Discount Amount" fld="16" baseField="0" baseItem="0"/>
    <dataField name="Sum of Net Revenue" fld="17" baseField="0" baseItem="0"/>
  </dataFields>
  <formats count="12">
    <format dxfId="315">
      <pivotArea type="all" dataOnly="0" outline="0" fieldPosition="0"/>
    </format>
    <format dxfId="314">
      <pivotArea outline="0" collapsedLevelsAreSubtotals="1" fieldPosition="0"/>
    </format>
    <format dxfId="313">
      <pivotArea field="15" type="button" dataOnly="0" labelOnly="1" outline="0" axis="axisRow" fieldPosition="0"/>
    </format>
    <format dxfId="312">
      <pivotArea dataOnly="0" labelOnly="1" fieldPosition="0">
        <references count="1">
          <reference field="15" count="0"/>
        </references>
      </pivotArea>
    </format>
    <format dxfId="311">
      <pivotArea dataOnly="0" labelOnly="1" grandRow="1" outline="0" fieldPosition="0"/>
    </format>
    <format dxfId="310">
      <pivotArea dataOnly="0" labelOnly="1" outline="0" fieldPosition="0">
        <references count="1">
          <reference field="4294967294" count="2">
            <x v="0"/>
            <x v="1"/>
          </reference>
        </references>
      </pivotArea>
    </format>
    <format dxfId="309">
      <pivotArea type="all" dataOnly="0" outline="0" fieldPosition="0"/>
    </format>
    <format dxfId="308">
      <pivotArea outline="0" collapsedLevelsAreSubtotals="1" fieldPosition="0"/>
    </format>
    <format dxfId="307">
      <pivotArea field="15" type="button" dataOnly="0" labelOnly="1" outline="0" axis="axisRow" fieldPosition="0"/>
    </format>
    <format dxfId="306">
      <pivotArea dataOnly="0" labelOnly="1" fieldPosition="0">
        <references count="1">
          <reference field="15" count="0"/>
        </references>
      </pivotArea>
    </format>
    <format dxfId="305">
      <pivotArea dataOnly="0" labelOnly="1" grandRow="1" outline="0" fieldPosition="0"/>
    </format>
    <format dxfId="304">
      <pivotArea dataOnly="0" labelOnly="1" outline="0" fieldPosition="0">
        <references count="1">
          <reference field="4294967294" count="2">
            <x v="0"/>
            <x v="1"/>
          </reference>
        </references>
      </pivotArea>
    </format>
  </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B0CEC14-AF46-45DD-9B1E-04A1A0988182}" name="PivotTable26"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1" rowHeaderCaption="Package">
  <location ref="D20:E26" firstHeaderRow="1" firstDataRow="1" firstDataCol="1"/>
  <pivotFields count="22">
    <pivotField showAll="0"/>
    <pivotField showAll="0"/>
    <pivotField showAll="0"/>
    <pivotField showAll="0"/>
    <pivotField axis="axisRow" showAll="0">
      <items count="6">
        <item x="1"/>
        <item x="0"/>
        <item x="4"/>
        <item x="2"/>
        <item x="3"/>
        <item t="default"/>
      </items>
    </pivotField>
    <pivotField showAll="0"/>
    <pivotField showAll="0"/>
    <pivotField showAll="0"/>
    <pivotField showAll="0"/>
    <pivotField showAll="0"/>
    <pivotField dataField="1" numFmtId="164" showAll="0"/>
    <pivotField showAll="0"/>
    <pivotField numFmtId="164" showAll="0"/>
    <pivotField numFmtId="164" showAll="0"/>
    <pivotField showAll="0"/>
    <pivotField numFmtId="9" showAll="0"/>
    <pivotField numFmtId="164" showAll="0"/>
    <pivotField numFmtId="164" showAll="0"/>
    <pivotField showAll="0"/>
    <pivotField showAll="0">
      <items count="9">
        <item x="1"/>
        <item x="7"/>
        <item x="6"/>
        <item x="4"/>
        <item x="2"/>
        <item x="3"/>
        <item x="0"/>
        <item x="5"/>
        <item t="default"/>
      </items>
    </pivotField>
    <pivotField showAll="0"/>
    <pivotField showAll="0">
      <items count="11">
        <item x="8"/>
        <item x="6"/>
        <item x="1"/>
        <item x="0"/>
        <item x="7"/>
        <item x="3"/>
        <item x="2"/>
        <item x="5"/>
        <item x="4"/>
        <item x="9"/>
        <item t="default"/>
      </items>
    </pivotField>
  </pivotFields>
  <rowFields count="1">
    <field x="4"/>
  </rowFields>
  <rowItems count="6">
    <i>
      <x/>
    </i>
    <i>
      <x v="1"/>
    </i>
    <i>
      <x v="2"/>
    </i>
    <i>
      <x v="3"/>
    </i>
    <i>
      <x v="4"/>
    </i>
    <i t="grand">
      <x/>
    </i>
  </rowItems>
  <colItems count="1">
    <i/>
  </colItems>
  <dataFields count="1">
    <dataField name="Average of Price" fld="10" subtotal="average" baseField="4" baseItem="0"/>
  </dataFields>
  <formats count="13">
    <format dxfId="328">
      <pivotArea grandRow="1" outline="0" collapsedLevelsAreSubtotals="1" fieldPosition="0"/>
    </format>
    <format dxfId="327">
      <pivotArea type="all" dataOnly="0" outline="0" fieldPosition="0"/>
    </format>
    <format dxfId="326">
      <pivotArea outline="0" collapsedLevelsAreSubtotals="1" fieldPosition="0"/>
    </format>
    <format dxfId="325">
      <pivotArea field="4" type="button" dataOnly="0" labelOnly="1" outline="0" axis="axisRow" fieldPosition="0"/>
    </format>
    <format dxfId="324">
      <pivotArea dataOnly="0" labelOnly="1" fieldPosition="0">
        <references count="1">
          <reference field="4" count="0"/>
        </references>
      </pivotArea>
    </format>
    <format dxfId="323">
      <pivotArea dataOnly="0" labelOnly="1" grandRow="1" outline="0" fieldPosition="0"/>
    </format>
    <format dxfId="322">
      <pivotArea dataOnly="0" labelOnly="1" outline="0" axis="axisValues" fieldPosition="0"/>
    </format>
    <format dxfId="321">
      <pivotArea type="all" dataOnly="0" outline="0" fieldPosition="0"/>
    </format>
    <format dxfId="320">
      <pivotArea outline="0" collapsedLevelsAreSubtotals="1" fieldPosition="0"/>
    </format>
    <format dxfId="319">
      <pivotArea field="4" type="button" dataOnly="0" labelOnly="1" outline="0" axis="axisRow" fieldPosition="0"/>
    </format>
    <format dxfId="318">
      <pivotArea dataOnly="0" labelOnly="1" fieldPosition="0">
        <references count="1">
          <reference field="4" count="0"/>
        </references>
      </pivotArea>
    </format>
    <format dxfId="317">
      <pivotArea dataOnly="0" labelOnly="1" grandRow="1" outline="0" fieldPosition="0"/>
    </format>
    <format dxfId="316">
      <pivotArea dataOnly="0" labelOnly="1" outline="0" axis="axisValues" fieldPosition="0"/>
    </format>
  </formats>
  <chartFormats count="13">
    <chartFormat chart="5" format="13" series="1">
      <pivotArea type="data" outline="0" fieldPosition="0">
        <references count="1">
          <reference field="4294967294" count="1" selected="0">
            <x v="0"/>
          </reference>
        </references>
      </pivotArea>
    </chartFormat>
    <chartFormat chart="5" format="14">
      <pivotArea type="data" outline="0" fieldPosition="0">
        <references count="2">
          <reference field="4294967294" count="1" selected="0">
            <x v="0"/>
          </reference>
          <reference field="4" count="1" selected="0">
            <x v="0"/>
          </reference>
        </references>
      </pivotArea>
    </chartFormat>
    <chartFormat chart="5" format="15">
      <pivotArea type="data" outline="0" fieldPosition="0">
        <references count="2">
          <reference field="4294967294" count="1" selected="0">
            <x v="0"/>
          </reference>
          <reference field="4" count="1" selected="0">
            <x v="1"/>
          </reference>
        </references>
      </pivotArea>
    </chartFormat>
    <chartFormat chart="5" format="16">
      <pivotArea type="data" outline="0" fieldPosition="0">
        <references count="2">
          <reference field="4294967294" count="1" selected="0">
            <x v="0"/>
          </reference>
          <reference field="4" count="1" selected="0">
            <x v="2"/>
          </reference>
        </references>
      </pivotArea>
    </chartFormat>
    <chartFormat chart="5" format="17">
      <pivotArea type="data" outline="0" fieldPosition="0">
        <references count="2">
          <reference field="4294967294" count="1" selected="0">
            <x v="0"/>
          </reference>
          <reference field="4" count="1" selected="0">
            <x v="3"/>
          </reference>
        </references>
      </pivotArea>
    </chartFormat>
    <chartFormat chart="5" format="18">
      <pivotArea type="data" outline="0" fieldPosition="0">
        <references count="2">
          <reference field="4294967294" count="1" selected="0">
            <x v="0"/>
          </reference>
          <reference field="4" count="1" selected="0">
            <x v="4"/>
          </reference>
        </references>
      </pivotArea>
    </chartFormat>
    <chartFormat chart="6" format="19" series="1">
      <pivotArea type="data" outline="0" fieldPosition="0">
        <references count="1">
          <reference field="4294967294" count="1" selected="0">
            <x v="0"/>
          </reference>
        </references>
      </pivotArea>
    </chartFormat>
    <chartFormat chart="6" format="20">
      <pivotArea type="data" outline="0" fieldPosition="0">
        <references count="2">
          <reference field="4294967294" count="1" selected="0">
            <x v="0"/>
          </reference>
          <reference field="4" count="1" selected="0">
            <x v="0"/>
          </reference>
        </references>
      </pivotArea>
    </chartFormat>
    <chartFormat chart="6" format="21">
      <pivotArea type="data" outline="0" fieldPosition="0">
        <references count="2">
          <reference field="4294967294" count="1" selected="0">
            <x v="0"/>
          </reference>
          <reference field="4" count="1" selected="0">
            <x v="1"/>
          </reference>
        </references>
      </pivotArea>
    </chartFormat>
    <chartFormat chart="6" format="22">
      <pivotArea type="data" outline="0" fieldPosition="0">
        <references count="2">
          <reference field="4294967294" count="1" selected="0">
            <x v="0"/>
          </reference>
          <reference field="4" count="1" selected="0">
            <x v="2"/>
          </reference>
        </references>
      </pivotArea>
    </chartFormat>
    <chartFormat chart="6" format="23">
      <pivotArea type="data" outline="0" fieldPosition="0">
        <references count="2">
          <reference field="4294967294" count="1" selected="0">
            <x v="0"/>
          </reference>
          <reference field="4" count="1" selected="0">
            <x v="3"/>
          </reference>
        </references>
      </pivotArea>
    </chartFormat>
    <chartFormat chart="6" format="24">
      <pivotArea type="data" outline="0" fieldPosition="0">
        <references count="2">
          <reference field="4294967294" count="1" selected="0">
            <x v="0"/>
          </reference>
          <reference field="4" count="1" selected="0">
            <x v="4"/>
          </reference>
        </references>
      </pivotArea>
    </chartFormat>
    <chartFormat chart="14" format="2" series="1">
      <pivotArea type="data" outline="0" fieldPosition="0">
        <references count="1">
          <reference field="4294967294" count="1" selected="0">
            <x v="0"/>
          </reference>
        </references>
      </pivotArea>
    </chartFormat>
  </chart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1397CCB-9331-441D-9AF4-E0DDC46F8027}" name="PivotTable28"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20" rowHeaderCaption="Gender">
  <location ref="J13:K16" firstHeaderRow="1" firstDataRow="1" firstDataCol="1"/>
  <pivotFields count="22">
    <pivotField dataField="1" showAll="0"/>
    <pivotField showAll="0"/>
    <pivotField showAll="0"/>
    <pivotField axis="axisRow" showAll="0">
      <items count="3">
        <item x="1"/>
        <item x="0"/>
        <item t="default"/>
      </items>
    </pivotField>
    <pivotField showAll="0">
      <items count="6">
        <item x="1"/>
        <item x="0"/>
        <item x="4"/>
        <item x="2"/>
        <item x="3"/>
        <item t="default"/>
      </items>
    </pivotField>
    <pivotField showAll="0"/>
    <pivotField showAll="0"/>
    <pivotField showAll="0"/>
    <pivotField showAll="0"/>
    <pivotField showAll="0"/>
    <pivotField numFmtId="164" showAll="0"/>
    <pivotField showAll="0"/>
    <pivotField numFmtId="164" showAll="0"/>
    <pivotField numFmtId="164" showAll="0"/>
    <pivotField showAll="0"/>
    <pivotField numFmtId="9" showAll="0"/>
    <pivotField numFmtId="164" showAll="0"/>
    <pivotField numFmtId="164" showAll="0"/>
    <pivotField showAll="0"/>
    <pivotField showAll="0">
      <items count="9">
        <item x="1"/>
        <item x="7"/>
        <item x="6"/>
        <item x="4"/>
        <item x="2"/>
        <item x="3"/>
        <item x="0"/>
        <item x="5"/>
        <item t="default"/>
      </items>
    </pivotField>
    <pivotField showAll="0"/>
    <pivotField showAll="0">
      <items count="11">
        <item x="8"/>
        <item x="6"/>
        <item x="1"/>
        <item x="0"/>
        <item x="7"/>
        <item x="3"/>
        <item x="2"/>
        <item x="5"/>
        <item x="4"/>
        <item x="9"/>
        <item t="default"/>
      </items>
    </pivotField>
  </pivotFields>
  <rowFields count="1">
    <field x="3"/>
  </rowFields>
  <rowItems count="3">
    <i>
      <x/>
    </i>
    <i>
      <x v="1"/>
    </i>
    <i t="grand">
      <x/>
    </i>
  </rowItems>
  <colItems count="1">
    <i/>
  </colItems>
  <dataFields count="1">
    <dataField name="Count of Booking ID" fld="0" subtotal="count" baseField="0" baseItem="0"/>
  </dataFields>
  <formats count="12">
    <format dxfId="340">
      <pivotArea type="all" dataOnly="0" outline="0" fieldPosition="0"/>
    </format>
    <format dxfId="339">
      <pivotArea outline="0" collapsedLevelsAreSubtotals="1" fieldPosition="0"/>
    </format>
    <format dxfId="338">
      <pivotArea field="3" type="button" dataOnly="0" labelOnly="1" outline="0" axis="axisRow" fieldPosition="0"/>
    </format>
    <format dxfId="337">
      <pivotArea dataOnly="0" labelOnly="1" fieldPosition="0">
        <references count="1">
          <reference field="3" count="0"/>
        </references>
      </pivotArea>
    </format>
    <format dxfId="336">
      <pivotArea dataOnly="0" labelOnly="1" grandRow="1" outline="0" fieldPosition="0"/>
    </format>
    <format dxfId="335">
      <pivotArea dataOnly="0" labelOnly="1" outline="0" axis="axisValues" fieldPosition="0"/>
    </format>
    <format dxfId="334">
      <pivotArea type="all" dataOnly="0" outline="0" fieldPosition="0"/>
    </format>
    <format dxfId="333">
      <pivotArea outline="0" collapsedLevelsAreSubtotals="1" fieldPosition="0"/>
    </format>
    <format dxfId="332">
      <pivotArea field="3" type="button" dataOnly="0" labelOnly="1" outline="0" axis="axisRow" fieldPosition="0"/>
    </format>
    <format dxfId="331">
      <pivotArea dataOnly="0" labelOnly="1" fieldPosition="0">
        <references count="1">
          <reference field="3" count="0"/>
        </references>
      </pivotArea>
    </format>
    <format dxfId="330">
      <pivotArea dataOnly="0" labelOnly="1" grandRow="1" outline="0" fieldPosition="0"/>
    </format>
    <format dxfId="329">
      <pivotArea dataOnly="0" labelOnly="1" outline="0" axis="axisValues" fieldPosition="0"/>
    </format>
  </formats>
  <chartFormats count="3">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3" count="1" selected="0">
            <x v="0"/>
          </reference>
        </references>
      </pivotArea>
    </chartFormat>
    <chartFormat chart="4" format="6">
      <pivotArea type="data" outline="0" fieldPosition="0">
        <references count="2">
          <reference field="4294967294" count="1" selected="0">
            <x v="0"/>
          </reference>
          <reference field="3" count="1" selected="0">
            <x v="1"/>
          </reference>
        </references>
      </pivotArea>
    </chartFormat>
  </chart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16F7E2D-E143-477A-AECA-3DF15A4EEFB4}" name="PivotTable24"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0" rowHeaderCaption="No.Of Days">
  <location ref="J3:K9" firstHeaderRow="1" firstDataRow="1" firstDataCol="1"/>
  <pivotFields count="22">
    <pivotField showAll="0"/>
    <pivotField showAll="0"/>
    <pivotField showAll="0"/>
    <pivotField showAll="0"/>
    <pivotField showAll="0">
      <items count="6">
        <item x="1"/>
        <item x="0"/>
        <item x="4"/>
        <item x="2"/>
        <item x="3"/>
        <item t="default"/>
      </items>
    </pivotField>
    <pivotField showAll="0"/>
    <pivotField showAll="0"/>
    <pivotField showAll="0"/>
    <pivotField showAll="0"/>
    <pivotField axis="axisRow" showAll="0">
      <items count="6">
        <item x="0"/>
        <item x="1"/>
        <item x="4"/>
        <item x="2"/>
        <item x="3"/>
        <item t="default"/>
      </items>
    </pivotField>
    <pivotField numFmtId="164" showAll="0"/>
    <pivotField showAll="0"/>
    <pivotField numFmtId="164" showAll="0"/>
    <pivotField numFmtId="164" showAll="0"/>
    <pivotField showAll="0"/>
    <pivotField numFmtId="9" showAll="0"/>
    <pivotField numFmtId="164" showAll="0"/>
    <pivotField dataField="1" numFmtId="164" showAll="0"/>
    <pivotField showAll="0"/>
    <pivotField showAll="0">
      <items count="9">
        <item x="1"/>
        <item x="7"/>
        <item x="6"/>
        <item x="4"/>
        <item x="2"/>
        <item x="3"/>
        <item x="0"/>
        <item x="5"/>
        <item t="default"/>
      </items>
    </pivotField>
    <pivotField showAll="0"/>
    <pivotField showAll="0">
      <items count="11">
        <item x="8"/>
        <item x="6"/>
        <item x="1"/>
        <item x="0"/>
        <item x="7"/>
        <item x="3"/>
        <item x="2"/>
        <item x="5"/>
        <item x="4"/>
        <item x="9"/>
        <item t="default"/>
      </items>
    </pivotField>
  </pivotFields>
  <rowFields count="1">
    <field x="9"/>
  </rowFields>
  <rowItems count="6">
    <i>
      <x/>
    </i>
    <i>
      <x v="1"/>
    </i>
    <i>
      <x v="2"/>
    </i>
    <i>
      <x v="3"/>
    </i>
    <i>
      <x v="4"/>
    </i>
    <i t="grand">
      <x/>
    </i>
  </rowItems>
  <colItems count="1">
    <i/>
  </colItems>
  <dataFields count="1">
    <dataField name="Sum of Net Revenue" fld="17" baseField="0" baseItem="0"/>
  </dataFields>
  <formats count="12">
    <format dxfId="352">
      <pivotArea type="all" dataOnly="0" outline="0" fieldPosition="0"/>
    </format>
    <format dxfId="351">
      <pivotArea outline="0" collapsedLevelsAreSubtotals="1" fieldPosition="0"/>
    </format>
    <format dxfId="350">
      <pivotArea field="9" type="button" dataOnly="0" labelOnly="1" outline="0" axis="axisRow" fieldPosition="0"/>
    </format>
    <format dxfId="349">
      <pivotArea dataOnly="0" labelOnly="1" fieldPosition="0">
        <references count="1">
          <reference field="9" count="0"/>
        </references>
      </pivotArea>
    </format>
    <format dxfId="348">
      <pivotArea dataOnly="0" labelOnly="1" grandRow="1" outline="0" fieldPosition="0"/>
    </format>
    <format dxfId="347">
      <pivotArea dataOnly="0" labelOnly="1" outline="0" axis="axisValues" fieldPosition="0"/>
    </format>
    <format dxfId="346">
      <pivotArea type="all" dataOnly="0" outline="0" fieldPosition="0"/>
    </format>
    <format dxfId="345">
      <pivotArea outline="0" collapsedLevelsAreSubtotals="1" fieldPosition="0"/>
    </format>
    <format dxfId="344">
      <pivotArea field="9" type="button" dataOnly="0" labelOnly="1" outline="0" axis="axisRow" fieldPosition="0"/>
    </format>
    <format dxfId="343">
      <pivotArea dataOnly="0" labelOnly="1" fieldPosition="0">
        <references count="1">
          <reference field="9" count="0"/>
        </references>
      </pivotArea>
    </format>
    <format dxfId="342">
      <pivotArea dataOnly="0" labelOnly="1" grandRow="1" outline="0" fieldPosition="0"/>
    </format>
    <format dxfId="341">
      <pivotArea dataOnly="0" labelOnly="1" outline="0" axis="axisValues" fieldPosition="0"/>
    </format>
  </formats>
  <chartFormats count="2">
    <chartFormat chart="8"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77E21B6-FB53-4DA4-8CE9-23F4EB1A5C1C}" name="PivotTable20"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21" rowHeaderCaption="Month">
  <location ref="A3:B12" firstHeaderRow="1" firstDataRow="1" firstDataCol="1"/>
  <pivotFields count="22">
    <pivotField showAll="0"/>
    <pivotField showAll="0"/>
    <pivotField showAll="0"/>
    <pivotField showAll="0"/>
    <pivotField showAll="0">
      <items count="6">
        <item x="1"/>
        <item x="0"/>
        <item x="4"/>
        <item x="2"/>
        <item x="3"/>
        <item t="default"/>
      </items>
    </pivotField>
    <pivotField showAll="0"/>
    <pivotField showAll="0"/>
    <pivotField showAll="0"/>
    <pivotField showAll="0"/>
    <pivotField showAll="0"/>
    <pivotField numFmtId="164" showAll="0"/>
    <pivotField showAll="0"/>
    <pivotField numFmtId="164" showAll="0"/>
    <pivotField numFmtId="164" showAll="0"/>
    <pivotField showAll="0"/>
    <pivotField numFmtId="9" showAll="0"/>
    <pivotField numFmtId="164" showAll="0"/>
    <pivotField dataField="1" numFmtId="164" showAll="0">
      <items count="20">
        <item x="1"/>
        <item x="0"/>
        <item x="14"/>
        <item x="5"/>
        <item x="15"/>
        <item x="9"/>
        <item x="16"/>
        <item x="4"/>
        <item x="6"/>
        <item x="7"/>
        <item x="3"/>
        <item x="12"/>
        <item x="13"/>
        <item x="8"/>
        <item x="2"/>
        <item x="10"/>
        <item x="18"/>
        <item x="17"/>
        <item x="11"/>
        <item t="default"/>
      </items>
    </pivotField>
    <pivotField showAll="0"/>
    <pivotField axis="axisRow" showAll="0">
      <items count="9">
        <item x="1"/>
        <item x="7"/>
        <item x="6"/>
        <item x="4"/>
        <item x="2"/>
        <item x="3"/>
        <item x="0"/>
        <item x="5"/>
        <item t="default"/>
      </items>
    </pivotField>
    <pivotField showAll="0"/>
    <pivotField showAll="0">
      <items count="11">
        <item x="8"/>
        <item x="6"/>
        <item x="1"/>
        <item x="0"/>
        <item x="7"/>
        <item x="3"/>
        <item x="2"/>
        <item x="5"/>
        <item x="4"/>
        <item x="9"/>
        <item t="default"/>
      </items>
    </pivotField>
  </pivotFields>
  <rowFields count="1">
    <field x="19"/>
  </rowFields>
  <rowItems count="9">
    <i>
      <x/>
    </i>
    <i>
      <x v="1"/>
    </i>
    <i>
      <x v="2"/>
    </i>
    <i>
      <x v="3"/>
    </i>
    <i>
      <x v="4"/>
    </i>
    <i>
      <x v="5"/>
    </i>
    <i>
      <x v="6"/>
    </i>
    <i>
      <x v="7"/>
    </i>
    <i t="grand">
      <x/>
    </i>
  </rowItems>
  <colItems count="1">
    <i/>
  </colItems>
  <dataFields count="1">
    <dataField name="Sum of Net Revenue" fld="17" baseField="0" baseItem="0"/>
  </dataFields>
  <formats count="12">
    <format dxfId="364">
      <pivotArea type="all" dataOnly="0" outline="0" fieldPosition="0"/>
    </format>
    <format dxfId="363">
      <pivotArea outline="0" collapsedLevelsAreSubtotals="1" fieldPosition="0"/>
    </format>
    <format dxfId="362">
      <pivotArea field="19" type="button" dataOnly="0" labelOnly="1" outline="0" axis="axisRow" fieldPosition="0"/>
    </format>
    <format dxfId="361">
      <pivotArea dataOnly="0" labelOnly="1" fieldPosition="0">
        <references count="1">
          <reference field="19" count="0"/>
        </references>
      </pivotArea>
    </format>
    <format dxfId="360">
      <pivotArea dataOnly="0" labelOnly="1" grandRow="1" outline="0" fieldPosition="0"/>
    </format>
    <format dxfId="359">
      <pivotArea dataOnly="0" labelOnly="1" outline="0" axis="axisValues" fieldPosition="0"/>
    </format>
    <format dxfId="358">
      <pivotArea type="all" dataOnly="0" outline="0" fieldPosition="0"/>
    </format>
    <format dxfId="357">
      <pivotArea outline="0" collapsedLevelsAreSubtotals="1" fieldPosition="0"/>
    </format>
    <format dxfId="356">
      <pivotArea field="19" type="button" dataOnly="0" labelOnly="1" outline="0" axis="axisRow" fieldPosition="0"/>
    </format>
    <format dxfId="355">
      <pivotArea dataOnly="0" labelOnly="1" fieldPosition="0">
        <references count="1">
          <reference field="19" count="0"/>
        </references>
      </pivotArea>
    </format>
    <format dxfId="354">
      <pivotArea dataOnly="0" labelOnly="1" grandRow="1" outline="0" fieldPosition="0"/>
    </format>
    <format dxfId="353">
      <pivotArea dataOnly="0" labelOnly="1" outline="0" axis="axisValues" fieldPosition="0"/>
    </format>
  </formats>
  <chartFormats count="1">
    <chartFormat chart="9" format="3" series="1">
      <pivotArea type="data" outline="0" fieldPosition="0">
        <references count="1">
          <reference field="4294967294" count="1" selected="0">
            <x v="0"/>
          </reference>
        </references>
      </pivotArea>
    </chartFormat>
  </chart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ckage_Category" xr10:uid="{ABF83913-E331-4061-909F-A3C68FB248C8}" sourceName="Package Category">
  <pivotTables>
    <pivotTable tabId="6" name="PivotTable26"/>
    <pivotTable tabId="6" name="PivotTable21"/>
    <pivotTable tabId="6" name="PivotTable20"/>
    <pivotTable tabId="6" name="PivotTable22"/>
    <pivotTable tabId="6" name="PivotTable23"/>
    <pivotTable tabId="6" name="PivotTable24"/>
    <pivotTable tabId="6" name="PivotTable25"/>
    <pivotTable tabId="6" name="PivotTable27"/>
    <pivotTable tabId="6" name="PivotTable28"/>
    <pivotTable tabId="6" name="PivotTable30"/>
  </pivotTables>
  <data>
    <tabular pivotCacheId="772419785">
      <items count="5">
        <i x="1" s="1"/>
        <i x="0" s="1"/>
        <i x="4"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FFE357B-85F6-46ED-A400-2B062A8891C9}" sourceName="Month">
  <pivotTables>
    <pivotTable tabId="6" name="PivotTable20"/>
    <pivotTable tabId="6" name="PivotTable21"/>
    <pivotTable tabId="6" name="PivotTable22"/>
    <pivotTable tabId="6" name="PivotTable23"/>
    <pivotTable tabId="6" name="PivotTable24"/>
    <pivotTable tabId="6" name="PivotTable25"/>
    <pivotTable tabId="6" name="PivotTable26"/>
    <pivotTable tabId="6" name="PivotTable27"/>
    <pivotTable tabId="6" name="PivotTable28"/>
    <pivotTable tabId="6" name="PivotTable30"/>
  </pivotTables>
  <data>
    <tabular pivotCacheId="772419785">
      <items count="8">
        <i x="1" s="1"/>
        <i x="7" s="1"/>
        <i x="6" s="1"/>
        <i x="4" s="1"/>
        <i x="2" s="1"/>
        <i x="3" s="1"/>
        <i x="0"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CA36A46C-0125-4460-93A2-F6DD4C1E5CDA}" sourceName="Age Group">
  <pivotTables>
    <pivotTable tabId="6" name="PivotTable23"/>
    <pivotTable tabId="6" name="PivotTable20"/>
    <pivotTable tabId="6" name="PivotTable21"/>
    <pivotTable tabId="6" name="PivotTable22"/>
    <pivotTable tabId="6" name="PivotTable24"/>
    <pivotTable tabId="6" name="PivotTable25"/>
    <pivotTable tabId="6" name="PivotTable26"/>
    <pivotTable tabId="6" name="PivotTable27"/>
    <pivotTable tabId="6" name="PivotTable28"/>
    <pivotTable tabId="6" name="PivotTable30"/>
  </pivotTables>
  <data>
    <tabular pivotCacheId="772419785">
      <items count="10">
        <i x="8" s="1"/>
        <i x="6" s="1"/>
        <i x="1" s="1"/>
        <i x="0" s="1"/>
        <i x="7" s="1"/>
        <i x="3" s="1"/>
        <i x="2" s="1"/>
        <i x="5" s="1"/>
        <i x="4"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ckage Category" xr10:uid="{6541455F-B845-45FC-A723-58E1166705D5}" cache="Slicer_Package_Category" caption="Package Category" style="SlicerStyleDark4" rowHeight="234950"/>
  <slicer name="Month" xr10:uid="{087969CE-8E41-4BA9-922C-5F0F5AFE8129}" cache="Slicer_Month" caption="Month" style="SlicerStyleDark4" rowHeight="234950"/>
  <slicer name="Age Group" xr10:uid="{C0E00405-F3F4-488C-9364-CE033BCA23E8}" cache="Slicer_Age_Group" caption="Age Group" style="SlicerStyleDark4"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703"/>
  <sheetViews>
    <sheetView zoomScale="63" zoomScaleNormal="90" workbookViewId="0">
      <selection activeCell="C5" sqref="C5"/>
    </sheetView>
  </sheetViews>
  <sheetFormatPr defaultColWidth="17.77734375" defaultRowHeight="14.4" x14ac:dyDescent="0.3"/>
  <sheetData>
    <row r="1" spans="1:24" ht="29.4" customHeight="1" x14ac:dyDescent="0.3">
      <c r="A1" s="16" t="s">
        <v>1016</v>
      </c>
      <c r="B1" s="17"/>
      <c r="C1" s="17"/>
      <c r="D1" s="17"/>
      <c r="E1" s="17"/>
      <c r="F1" s="17"/>
      <c r="G1" s="17"/>
      <c r="H1" s="17"/>
      <c r="I1" s="17"/>
      <c r="J1" s="17"/>
      <c r="K1" s="17"/>
      <c r="L1" s="17"/>
      <c r="M1" s="17"/>
      <c r="N1" s="17"/>
      <c r="O1" s="17"/>
      <c r="P1" s="17"/>
      <c r="Q1" s="17"/>
      <c r="R1" s="17"/>
      <c r="S1" s="17"/>
      <c r="T1" s="17"/>
      <c r="U1" s="17"/>
      <c r="V1" s="18"/>
    </row>
    <row r="2" spans="1:24" ht="21.6" customHeight="1" x14ac:dyDescent="0.3">
      <c r="A2" s="6" t="s">
        <v>0</v>
      </c>
      <c r="B2" s="6" t="s">
        <v>1</v>
      </c>
      <c r="C2" s="6" t="s">
        <v>2</v>
      </c>
      <c r="D2" s="6" t="s">
        <v>3</v>
      </c>
      <c r="E2" s="6" t="s">
        <v>4</v>
      </c>
      <c r="F2" s="6" t="s">
        <v>5</v>
      </c>
      <c r="G2" s="6" t="s">
        <v>6</v>
      </c>
      <c r="H2" s="6" t="s">
        <v>7</v>
      </c>
      <c r="I2" s="6" t="s">
        <v>8</v>
      </c>
      <c r="J2" s="6" t="s">
        <v>9</v>
      </c>
      <c r="K2" s="6" t="s">
        <v>10</v>
      </c>
      <c r="L2" s="6" t="s">
        <v>11</v>
      </c>
      <c r="M2" s="6" t="s">
        <v>12</v>
      </c>
      <c r="N2" s="6" t="s">
        <v>1744</v>
      </c>
      <c r="O2" s="6" t="s">
        <v>13</v>
      </c>
      <c r="P2" s="6" t="s">
        <v>14</v>
      </c>
      <c r="Q2" s="6" t="s">
        <v>15</v>
      </c>
      <c r="R2" s="6" t="s">
        <v>16</v>
      </c>
      <c r="S2" s="6" t="s">
        <v>1745</v>
      </c>
      <c r="T2" s="6" t="s">
        <v>17</v>
      </c>
      <c r="U2" s="6" t="s">
        <v>18</v>
      </c>
      <c r="V2" s="6" t="s">
        <v>19</v>
      </c>
    </row>
    <row r="3" spans="1:24" x14ac:dyDescent="0.3">
      <c r="A3" s="7" t="s">
        <v>20</v>
      </c>
      <c r="B3" s="8" t="s">
        <v>1025</v>
      </c>
      <c r="C3" s="8">
        <v>33</v>
      </c>
      <c r="D3" s="8" t="s">
        <v>720</v>
      </c>
      <c r="E3" s="8" t="s">
        <v>726</v>
      </c>
      <c r="F3" s="7" t="s">
        <v>728</v>
      </c>
      <c r="G3" s="7" t="s">
        <v>736</v>
      </c>
      <c r="H3" s="7" t="s">
        <v>864</v>
      </c>
      <c r="I3" s="7" t="s">
        <v>931</v>
      </c>
      <c r="J3" s="7">
        <f>IF(E3="Adventure",5,IF(E3="Domestic",4,IF(E3="Family",7,IF(E3="Honeymoon",8,IF(E3="International",10,"")))))</f>
        <v>4</v>
      </c>
      <c r="K3" s="9">
        <f>IF(E3="Adventure",60000,
IF(E3="Domestic",18000,
IF(E3="Family",70000,
IF(E3="Honeymoon",80000,
IF(E3="International",120000,"")))))</f>
        <v>18000</v>
      </c>
      <c r="L3" s="7">
        <v>1</v>
      </c>
      <c r="M3" s="9">
        <f>K3*L3</f>
        <v>18000</v>
      </c>
      <c r="N3" s="9">
        <f>IF(E3="Adventure",M3*65%,IF(E3="Domestic",M3*50%,IF(E3="Family",M3*60%,IF(E3="Honeymoon",M3*60%,IF(E3="International",M3*65%,0)))))</f>
        <v>9000</v>
      </c>
      <c r="O3" s="7" t="s">
        <v>1006</v>
      </c>
      <c r="P3" s="10">
        <f>IF(O3="Cancelled",0,IF(E3="Domestic",5%,IF(E3="Adventure",10%,IF(E3="Family",7%,IF(E3="Honeymoon",12%,IF(E3="International",15%,0))))))</f>
        <v>0.05</v>
      </c>
      <c r="Q3" s="9">
        <f>M3*P3</f>
        <v>900</v>
      </c>
      <c r="R3" s="9">
        <f>IF(O3="Cancelled",5000,M3-Q3)</f>
        <v>17100</v>
      </c>
      <c r="S3" s="9" t="str">
        <f>IF(R3-N3&gt;5000,"Profit","Loss")</f>
        <v>Profit</v>
      </c>
      <c r="T3" s="7" t="str">
        <f>TEXT(G3,"mmm")</f>
        <v>Jul</v>
      </c>
      <c r="U3" s="7">
        <f>YEAR(G3)</f>
        <v>2025</v>
      </c>
      <c r="V3" s="7" t="str">
        <f>FLOOR(C3,5) &amp; "-" &amp; FLOOR(C3,5)+5</f>
        <v>30-35</v>
      </c>
      <c r="W3" s="15">
        <f>COUNTIF(O3:O702,"Cancelled")/COUNTA(O3:O702)*100</f>
        <v>48.285714285714285</v>
      </c>
      <c r="X3" s="3"/>
    </row>
    <row r="4" spans="1:24" x14ac:dyDescent="0.3">
      <c r="A4" s="7" t="s">
        <v>21</v>
      </c>
      <c r="B4" s="8" t="s">
        <v>1026</v>
      </c>
      <c r="C4" s="8">
        <v>29</v>
      </c>
      <c r="D4" s="8" t="s">
        <v>721</v>
      </c>
      <c r="E4" s="8" t="s">
        <v>722</v>
      </c>
      <c r="F4" s="7" t="s">
        <v>728</v>
      </c>
      <c r="G4" s="7" t="s">
        <v>737</v>
      </c>
      <c r="H4" s="7" t="s">
        <v>876</v>
      </c>
      <c r="I4" s="11">
        <v>45684</v>
      </c>
      <c r="J4" s="7">
        <f t="shared" ref="J4:J67" si="0">IF(E4="Adventure",5,IF(E4="Domestic",4,IF(E4="Family",7,IF(E4="Honeymoon",8,IF(E4="International",10,"")))))</f>
        <v>5</v>
      </c>
      <c r="K4" s="9">
        <f t="shared" ref="K4:K67" si="1">IF(E4="Adventure",60000,
IF(E4="Domestic",18000,
IF(E4="Family",70000,
IF(E4="Honeymoon",80000,
IF(E4="International",120000,"")))))</f>
        <v>60000</v>
      </c>
      <c r="L4" s="7">
        <v>2</v>
      </c>
      <c r="M4" s="9">
        <f t="shared" ref="M4:M67" si="2">K4*L4</f>
        <v>120000</v>
      </c>
      <c r="N4" s="9">
        <f t="shared" ref="N4:N67" si="3">IF(E4="Adventure",M4*65%,IF(E4="Domestic",M4*50%,IF(E4="Family",M4*60%,IF(E4="Honeymoon",M4*60%,IF(E4="International",M4*65%,0)))))</f>
        <v>78000</v>
      </c>
      <c r="O4" s="7" t="s">
        <v>1007</v>
      </c>
      <c r="P4" s="10">
        <f t="shared" ref="P4:P67" si="4">IF(O4="Cancelled",0,IF(E4="Domestic",5%,IF(E4="Adventure",10%,IF(E4="Family",7%,IF(E4="Honeymoon",12%,IF(E4="International",15%,0))))))</f>
        <v>0</v>
      </c>
      <c r="Q4" s="9">
        <f t="shared" ref="Q4:Q67" si="5">M4*P4</f>
        <v>0</v>
      </c>
      <c r="R4" s="9">
        <f t="shared" ref="R4:R67" si="6">IF(O4="Cancelled",5000,M4-Q4)</f>
        <v>5000</v>
      </c>
      <c r="S4" s="9" t="str">
        <f t="shared" ref="S4:S67" si="7">IF(R4-N4&gt;5000,"Profit","Loss")</f>
        <v>Loss</v>
      </c>
      <c r="T4" s="7" t="str">
        <f t="shared" ref="T4:T67" si="8">TEXT(G4,"mmm")</f>
        <v>Jan</v>
      </c>
      <c r="U4" s="7">
        <f t="shared" ref="U4:U67" si="9">YEAR(G4)</f>
        <v>2025</v>
      </c>
      <c r="V4" s="7" t="str">
        <f t="shared" ref="V4:V67" si="10">FLOOR(C4,5) &amp; "-" &amp; FLOOR(C4,5)+5</f>
        <v>25-30</v>
      </c>
    </row>
    <row r="5" spans="1:24" x14ac:dyDescent="0.3">
      <c r="A5" s="7" t="s">
        <v>22</v>
      </c>
      <c r="B5" s="8" t="s">
        <v>1027</v>
      </c>
      <c r="C5" s="8">
        <v>25</v>
      </c>
      <c r="D5" s="8" t="s">
        <v>720</v>
      </c>
      <c r="E5" s="8" t="s">
        <v>722</v>
      </c>
      <c r="F5" s="7" t="s">
        <v>729</v>
      </c>
      <c r="G5" s="7" t="s">
        <v>738</v>
      </c>
      <c r="H5" s="7" t="s">
        <v>964</v>
      </c>
      <c r="I5" s="11">
        <v>45827</v>
      </c>
      <c r="J5" s="7">
        <f t="shared" si="0"/>
        <v>5</v>
      </c>
      <c r="K5" s="9">
        <f t="shared" si="1"/>
        <v>60000</v>
      </c>
      <c r="L5" s="7">
        <v>4</v>
      </c>
      <c r="M5" s="9">
        <f t="shared" si="2"/>
        <v>240000</v>
      </c>
      <c r="N5" s="9">
        <f t="shared" si="3"/>
        <v>156000</v>
      </c>
      <c r="O5" s="7" t="s">
        <v>1006</v>
      </c>
      <c r="P5" s="10">
        <f t="shared" si="4"/>
        <v>0.1</v>
      </c>
      <c r="Q5" s="9">
        <f t="shared" si="5"/>
        <v>24000</v>
      </c>
      <c r="R5" s="9">
        <f t="shared" si="6"/>
        <v>216000</v>
      </c>
      <c r="S5" s="9" t="str">
        <f t="shared" si="7"/>
        <v>Profit</v>
      </c>
      <c r="T5" s="7" t="str">
        <f t="shared" si="8"/>
        <v>May</v>
      </c>
      <c r="U5" s="7">
        <f t="shared" si="9"/>
        <v>2025</v>
      </c>
      <c r="V5" s="7" t="str">
        <f t="shared" si="10"/>
        <v>25-30</v>
      </c>
    </row>
    <row r="6" spans="1:24" x14ac:dyDescent="0.3">
      <c r="A6" s="7" t="s">
        <v>23</v>
      </c>
      <c r="B6" s="8" t="s">
        <v>1028</v>
      </c>
      <c r="C6" s="8">
        <v>28</v>
      </c>
      <c r="D6" s="8" t="s">
        <v>721</v>
      </c>
      <c r="E6" s="8" t="s">
        <v>725</v>
      </c>
      <c r="F6" s="7" t="s">
        <v>730</v>
      </c>
      <c r="G6" s="7" t="s">
        <v>739</v>
      </c>
      <c r="H6" s="7" t="s">
        <v>759</v>
      </c>
      <c r="I6" s="11">
        <v>45865</v>
      </c>
      <c r="J6" s="7">
        <f t="shared" si="0"/>
        <v>8</v>
      </c>
      <c r="K6" s="9">
        <f t="shared" si="1"/>
        <v>80000</v>
      </c>
      <c r="L6" s="7">
        <v>2</v>
      </c>
      <c r="M6" s="9">
        <f t="shared" si="2"/>
        <v>160000</v>
      </c>
      <c r="N6" s="9">
        <f t="shared" si="3"/>
        <v>96000</v>
      </c>
      <c r="O6" s="7" t="s">
        <v>1006</v>
      </c>
      <c r="P6" s="10">
        <f t="shared" si="4"/>
        <v>0.12</v>
      </c>
      <c r="Q6" s="9">
        <f t="shared" si="5"/>
        <v>19200</v>
      </c>
      <c r="R6" s="9">
        <f t="shared" si="6"/>
        <v>140800</v>
      </c>
      <c r="S6" s="9" t="str">
        <f t="shared" si="7"/>
        <v>Profit</v>
      </c>
      <c r="T6" s="7" t="str">
        <f t="shared" si="8"/>
        <v>Jun</v>
      </c>
      <c r="U6" s="7">
        <f t="shared" si="9"/>
        <v>2025</v>
      </c>
      <c r="V6" s="7" t="str">
        <f t="shared" si="10"/>
        <v>25-30</v>
      </c>
    </row>
    <row r="7" spans="1:24" x14ac:dyDescent="0.3">
      <c r="A7" s="7" t="s">
        <v>24</v>
      </c>
      <c r="B7" s="8" t="s">
        <v>1029</v>
      </c>
      <c r="C7" s="8">
        <v>47</v>
      </c>
      <c r="D7" s="8" t="s">
        <v>721</v>
      </c>
      <c r="E7" s="8" t="s">
        <v>724</v>
      </c>
      <c r="F7" s="7" t="s">
        <v>1735</v>
      </c>
      <c r="G7" s="7" t="s">
        <v>740</v>
      </c>
      <c r="H7" s="7" t="s">
        <v>789</v>
      </c>
      <c r="I7" s="7" t="s">
        <v>817</v>
      </c>
      <c r="J7" s="7">
        <f t="shared" si="0"/>
        <v>10</v>
      </c>
      <c r="K7" s="9">
        <f t="shared" si="1"/>
        <v>120000</v>
      </c>
      <c r="L7" s="7">
        <v>1</v>
      </c>
      <c r="M7" s="9">
        <f t="shared" si="2"/>
        <v>120000</v>
      </c>
      <c r="N7" s="9">
        <f t="shared" si="3"/>
        <v>78000</v>
      </c>
      <c r="O7" s="7" t="s">
        <v>1006</v>
      </c>
      <c r="P7" s="10">
        <f t="shared" si="4"/>
        <v>0.15</v>
      </c>
      <c r="Q7" s="9">
        <f t="shared" si="5"/>
        <v>18000</v>
      </c>
      <c r="R7" s="9">
        <f t="shared" si="6"/>
        <v>102000</v>
      </c>
      <c r="S7" s="9" t="str">
        <f t="shared" si="7"/>
        <v>Profit</v>
      </c>
      <c r="T7" s="7" t="str">
        <f t="shared" si="8"/>
        <v>Apr</v>
      </c>
      <c r="U7" s="7">
        <f t="shared" si="9"/>
        <v>2025</v>
      </c>
      <c r="V7" s="7" t="str">
        <f t="shared" si="10"/>
        <v>45-50</v>
      </c>
    </row>
    <row r="8" spans="1:24" x14ac:dyDescent="0.3">
      <c r="A8" s="7" t="s">
        <v>25</v>
      </c>
      <c r="B8" s="8" t="s">
        <v>1030</v>
      </c>
      <c r="C8" s="8">
        <v>40</v>
      </c>
      <c r="D8" s="8" t="s">
        <v>720</v>
      </c>
      <c r="E8" s="8" t="s">
        <v>722</v>
      </c>
      <c r="F8" s="7" t="s">
        <v>730</v>
      </c>
      <c r="G8" s="7" t="s">
        <v>741</v>
      </c>
      <c r="H8" s="7" t="s">
        <v>956</v>
      </c>
      <c r="I8" s="11">
        <v>45766</v>
      </c>
      <c r="J8" s="7">
        <f t="shared" si="0"/>
        <v>5</v>
      </c>
      <c r="K8" s="9">
        <f t="shared" si="1"/>
        <v>60000</v>
      </c>
      <c r="L8" s="7">
        <v>1</v>
      </c>
      <c r="M8" s="9">
        <f t="shared" si="2"/>
        <v>60000</v>
      </c>
      <c r="N8" s="9">
        <f t="shared" si="3"/>
        <v>39000</v>
      </c>
      <c r="O8" s="7" t="s">
        <v>1007</v>
      </c>
      <c r="P8" s="10">
        <f t="shared" si="4"/>
        <v>0</v>
      </c>
      <c r="Q8" s="9">
        <f t="shared" si="5"/>
        <v>0</v>
      </c>
      <c r="R8" s="9">
        <f t="shared" si="6"/>
        <v>5000</v>
      </c>
      <c r="S8" s="9" t="str">
        <f t="shared" si="7"/>
        <v>Loss</v>
      </c>
      <c r="T8" s="7" t="str">
        <f t="shared" si="8"/>
        <v>Apr</v>
      </c>
      <c r="U8" s="7">
        <f t="shared" si="9"/>
        <v>2025</v>
      </c>
      <c r="V8" s="7" t="str">
        <f t="shared" si="10"/>
        <v>40-45</v>
      </c>
    </row>
    <row r="9" spans="1:24" x14ac:dyDescent="0.3">
      <c r="A9" s="7" t="s">
        <v>26</v>
      </c>
      <c r="B9" s="8" t="s">
        <v>1031</v>
      </c>
      <c r="C9" s="8">
        <v>25</v>
      </c>
      <c r="D9" s="8" t="s">
        <v>720</v>
      </c>
      <c r="E9" s="8" t="s">
        <v>725</v>
      </c>
      <c r="F9" s="7" t="s">
        <v>729</v>
      </c>
      <c r="G9" s="7" t="s">
        <v>742</v>
      </c>
      <c r="H9" s="7" t="s">
        <v>750</v>
      </c>
      <c r="I9" s="11">
        <v>45811</v>
      </c>
      <c r="J9" s="7">
        <f t="shared" si="0"/>
        <v>8</v>
      </c>
      <c r="K9" s="9">
        <f t="shared" si="1"/>
        <v>80000</v>
      </c>
      <c r="L9" s="7">
        <v>2</v>
      </c>
      <c r="M9" s="9">
        <f t="shared" si="2"/>
        <v>160000</v>
      </c>
      <c r="N9" s="9">
        <f t="shared" si="3"/>
        <v>96000</v>
      </c>
      <c r="O9" s="7" t="s">
        <v>1006</v>
      </c>
      <c r="P9" s="10">
        <f t="shared" si="4"/>
        <v>0.12</v>
      </c>
      <c r="Q9" s="9">
        <f t="shared" si="5"/>
        <v>19200</v>
      </c>
      <c r="R9" s="9">
        <f t="shared" si="6"/>
        <v>140800</v>
      </c>
      <c r="S9" s="9" t="str">
        <f t="shared" si="7"/>
        <v>Profit</v>
      </c>
      <c r="T9" s="7" t="str">
        <f t="shared" si="8"/>
        <v>May</v>
      </c>
      <c r="U9" s="7">
        <f t="shared" si="9"/>
        <v>2025</v>
      </c>
      <c r="V9" s="7" t="str">
        <f t="shared" si="10"/>
        <v>25-30</v>
      </c>
    </row>
    <row r="10" spans="1:24" x14ac:dyDescent="0.3">
      <c r="A10" s="7" t="s">
        <v>27</v>
      </c>
      <c r="B10" s="8" t="s">
        <v>1724</v>
      </c>
      <c r="C10" s="8">
        <v>57</v>
      </c>
      <c r="D10" s="8" t="s">
        <v>720</v>
      </c>
      <c r="E10" s="8" t="s">
        <v>726</v>
      </c>
      <c r="F10" s="7" t="s">
        <v>731</v>
      </c>
      <c r="G10" s="7" t="s">
        <v>743</v>
      </c>
      <c r="H10" s="7" t="s">
        <v>913</v>
      </c>
      <c r="I10" s="7" t="s">
        <v>759</v>
      </c>
      <c r="J10" s="7">
        <f t="shared" si="0"/>
        <v>4</v>
      </c>
      <c r="K10" s="9">
        <f t="shared" si="1"/>
        <v>18000</v>
      </c>
      <c r="L10" s="7">
        <v>3</v>
      </c>
      <c r="M10" s="9">
        <f t="shared" si="2"/>
        <v>54000</v>
      </c>
      <c r="N10" s="9">
        <f t="shared" si="3"/>
        <v>27000</v>
      </c>
      <c r="O10" s="7" t="s">
        <v>1006</v>
      </c>
      <c r="P10" s="10">
        <f t="shared" si="4"/>
        <v>0.05</v>
      </c>
      <c r="Q10" s="9">
        <f t="shared" si="5"/>
        <v>2700</v>
      </c>
      <c r="R10" s="9">
        <f t="shared" si="6"/>
        <v>51300</v>
      </c>
      <c r="S10" s="9" t="str">
        <f t="shared" si="7"/>
        <v>Profit</v>
      </c>
      <c r="T10" s="7" t="str">
        <f t="shared" si="8"/>
        <v>Jun</v>
      </c>
      <c r="U10" s="7">
        <f t="shared" si="9"/>
        <v>2025</v>
      </c>
      <c r="V10" s="7" t="str">
        <f t="shared" si="10"/>
        <v>55-60</v>
      </c>
    </row>
    <row r="11" spans="1:24" x14ac:dyDescent="0.3">
      <c r="A11" s="7" t="s">
        <v>28</v>
      </c>
      <c r="B11" s="8" t="s">
        <v>1032</v>
      </c>
      <c r="C11" s="8">
        <v>30</v>
      </c>
      <c r="D11" s="8" t="s">
        <v>720</v>
      </c>
      <c r="E11" s="8" t="s">
        <v>725</v>
      </c>
      <c r="F11" s="7" t="s">
        <v>732</v>
      </c>
      <c r="G11" s="7" t="s">
        <v>744</v>
      </c>
      <c r="H11" s="7" t="s">
        <v>773</v>
      </c>
      <c r="I11" s="11">
        <v>45714</v>
      </c>
      <c r="J11" s="7">
        <f t="shared" si="0"/>
        <v>8</v>
      </c>
      <c r="K11" s="9">
        <f t="shared" si="1"/>
        <v>80000</v>
      </c>
      <c r="L11" s="7">
        <v>2</v>
      </c>
      <c r="M11" s="9">
        <f t="shared" si="2"/>
        <v>160000</v>
      </c>
      <c r="N11" s="9">
        <f t="shared" si="3"/>
        <v>96000</v>
      </c>
      <c r="O11" s="7" t="s">
        <v>1007</v>
      </c>
      <c r="P11" s="10">
        <f t="shared" si="4"/>
        <v>0</v>
      </c>
      <c r="Q11" s="9">
        <f t="shared" si="5"/>
        <v>0</v>
      </c>
      <c r="R11" s="9">
        <f t="shared" si="6"/>
        <v>5000</v>
      </c>
      <c r="S11" s="9" t="str">
        <f t="shared" si="7"/>
        <v>Loss</v>
      </c>
      <c r="T11" s="7" t="str">
        <f t="shared" si="8"/>
        <v>Jan</v>
      </c>
      <c r="U11" s="7">
        <f t="shared" si="9"/>
        <v>2025</v>
      </c>
      <c r="V11" s="7" t="str">
        <f t="shared" si="10"/>
        <v>30-35</v>
      </c>
    </row>
    <row r="12" spans="1:24" x14ac:dyDescent="0.3">
      <c r="A12" s="7" t="s">
        <v>29</v>
      </c>
      <c r="B12" s="8" t="s">
        <v>1033</v>
      </c>
      <c r="C12" s="8">
        <v>31</v>
      </c>
      <c r="D12" s="8" t="s">
        <v>720</v>
      </c>
      <c r="E12" s="8" t="s">
        <v>726</v>
      </c>
      <c r="F12" s="7" t="s">
        <v>1725</v>
      </c>
      <c r="G12" s="7" t="s">
        <v>745</v>
      </c>
      <c r="H12" s="7" t="s">
        <v>796</v>
      </c>
      <c r="I12" s="11">
        <v>45843</v>
      </c>
      <c r="J12" s="7">
        <f t="shared" si="0"/>
        <v>4</v>
      </c>
      <c r="K12" s="9">
        <f t="shared" si="1"/>
        <v>18000</v>
      </c>
      <c r="L12" s="7">
        <v>1</v>
      </c>
      <c r="M12" s="9">
        <f t="shared" si="2"/>
        <v>18000</v>
      </c>
      <c r="N12" s="9">
        <f t="shared" si="3"/>
        <v>9000</v>
      </c>
      <c r="O12" s="7" t="s">
        <v>1006</v>
      </c>
      <c r="P12" s="10">
        <f t="shared" si="4"/>
        <v>0.05</v>
      </c>
      <c r="Q12" s="9">
        <f t="shared" si="5"/>
        <v>900</v>
      </c>
      <c r="R12" s="9">
        <f t="shared" si="6"/>
        <v>17100</v>
      </c>
      <c r="S12" s="9" t="str">
        <f t="shared" si="7"/>
        <v>Profit</v>
      </c>
      <c r="T12" s="7" t="str">
        <f t="shared" si="8"/>
        <v>Jun</v>
      </c>
      <c r="U12" s="7">
        <f t="shared" si="9"/>
        <v>2025</v>
      </c>
      <c r="V12" s="7" t="str">
        <f t="shared" si="10"/>
        <v>30-35</v>
      </c>
    </row>
    <row r="13" spans="1:24" x14ac:dyDescent="0.3">
      <c r="A13" s="7" t="s">
        <v>30</v>
      </c>
      <c r="B13" s="8" t="s">
        <v>1034</v>
      </c>
      <c r="C13" s="8">
        <v>26</v>
      </c>
      <c r="D13" s="8" t="s">
        <v>721</v>
      </c>
      <c r="E13" s="8" t="s">
        <v>722</v>
      </c>
      <c r="F13" s="7" t="s">
        <v>734</v>
      </c>
      <c r="G13" s="7" t="s">
        <v>746</v>
      </c>
      <c r="H13" s="7" t="s">
        <v>750</v>
      </c>
      <c r="I13" s="11">
        <v>45808</v>
      </c>
      <c r="J13" s="7">
        <f t="shared" si="0"/>
        <v>5</v>
      </c>
      <c r="K13" s="9">
        <f t="shared" si="1"/>
        <v>60000</v>
      </c>
      <c r="L13" s="7">
        <v>4</v>
      </c>
      <c r="M13" s="9">
        <f t="shared" si="2"/>
        <v>240000</v>
      </c>
      <c r="N13" s="9">
        <f t="shared" si="3"/>
        <v>156000</v>
      </c>
      <c r="O13" s="7" t="s">
        <v>1006</v>
      </c>
      <c r="P13" s="10">
        <f t="shared" si="4"/>
        <v>0.1</v>
      </c>
      <c r="Q13" s="9">
        <f t="shared" si="5"/>
        <v>24000</v>
      </c>
      <c r="R13" s="9">
        <f t="shared" si="6"/>
        <v>216000</v>
      </c>
      <c r="S13" s="9" t="str">
        <f t="shared" si="7"/>
        <v>Profit</v>
      </c>
      <c r="T13" s="7" t="str">
        <f t="shared" si="8"/>
        <v>May</v>
      </c>
      <c r="U13" s="7">
        <f t="shared" si="9"/>
        <v>2025</v>
      </c>
      <c r="V13" s="7" t="str">
        <f t="shared" si="10"/>
        <v>25-30</v>
      </c>
    </row>
    <row r="14" spans="1:24" x14ac:dyDescent="0.3">
      <c r="A14" s="7" t="s">
        <v>31</v>
      </c>
      <c r="B14" s="8" t="s">
        <v>1035</v>
      </c>
      <c r="C14" s="8">
        <v>30</v>
      </c>
      <c r="D14" s="8" t="s">
        <v>721</v>
      </c>
      <c r="E14" s="8" t="s">
        <v>722</v>
      </c>
      <c r="F14" s="7" t="s">
        <v>727</v>
      </c>
      <c r="G14" s="7" t="s">
        <v>747</v>
      </c>
      <c r="H14" s="7" t="s">
        <v>924</v>
      </c>
      <c r="I14" s="11">
        <v>45838</v>
      </c>
      <c r="J14" s="7">
        <f t="shared" si="0"/>
        <v>5</v>
      </c>
      <c r="K14" s="9">
        <f t="shared" si="1"/>
        <v>60000</v>
      </c>
      <c r="L14" s="7">
        <v>2</v>
      </c>
      <c r="M14" s="9">
        <f t="shared" si="2"/>
        <v>120000</v>
      </c>
      <c r="N14" s="9">
        <f t="shared" si="3"/>
        <v>78000</v>
      </c>
      <c r="O14" s="7" t="s">
        <v>1006</v>
      </c>
      <c r="P14" s="10">
        <f t="shared" si="4"/>
        <v>0.1</v>
      </c>
      <c r="Q14" s="9">
        <f t="shared" si="5"/>
        <v>12000</v>
      </c>
      <c r="R14" s="9">
        <f t="shared" si="6"/>
        <v>108000</v>
      </c>
      <c r="S14" s="9" t="str">
        <f t="shared" si="7"/>
        <v>Profit</v>
      </c>
      <c r="T14" s="7" t="str">
        <f t="shared" si="8"/>
        <v>Jun</v>
      </c>
      <c r="U14" s="7">
        <f t="shared" si="9"/>
        <v>2025</v>
      </c>
      <c r="V14" s="7" t="str">
        <f t="shared" si="10"/>
        <v>30-35</v>
      </c>
    </row>
    <row r="15" spans="1:24" x14ac:dyDescent="0.3">
      <c r="A15" s="7" t="s">
        <v>32</v>
      </c>
      <c r="B15" s="8" t="s">
        <v>1036</v>
      </c>
      <c r="C15" s="8">
        <v>54</v>
      </c>
      <c r="D15" s="8" t="s">
        <v>720</v>
      </c>
      <c r="E15" s="8" t="s">
        <v>723</v>
      </c>
      <c r="F15" s="7" t="s">
        <v>732</v>
      </c>
      <c r="G15" s="7" t="s">
        <v>748</v>
      </c>
      <c r="H15" s="7" t="s">
        <v>765</v>
      </c>
      <c r="I15" s="7" t="s">
        <v>844</v>
      </c>
      <c r="J15" s="7">
        <f t="shared" si="0"/>
        <v>7</v>
      </c>
      <c r="K15" s="9">
        <f t="shared" si="1"/>
        <v>70000</v>
      </c>
      <c r="L15" s="7">
        <v>2</v>
      </c>
      <c r="M15" s="9">
        <f t="shared" si="2"/>
        <v>140000</v>
      </c>
      <c r="N15" s="9">
        <f t="shared" si="3"/>
        <v>84000</v>
      </c>
      <c r="O15" s="7" t="s">
        <v>1006</v>
      </c>
      <c r="P15" s="10">
        <f t="shared" si="4"/>
        <v>7.0000000000000007E-2</v>
      </c>
      <c r="Q15" s="9">
        <f t="shared" si="5"/>
        <v>9800.0000000000018</v>
      </c>
      <c r="R15" s="9">
        <f t="shared" si="6"/>
        <v>130200</v>
      </c>
      <c r="S15" s="9" t="str">
        <f t="shared" si="7"/>
        <v>Profit</v>
      </c>
      <c r="T15" s="7" t="str">
        <f t="shared" si="8"/>
        <v>May</v>
      </c>
      <c r="U15" s="7">
        <f t="shared" si="9"/>
        <v>2025</v>
      </c>
      <c r="V15" s="7" t="str">
        <f t="shared" si="10"/>
        <v>50-55</v>
      </c>
    </row>
    <row r="16" spans="1:24" x14ac:dyDescent="0.3">
      <c r="A16" s="7" t="s">
        <v>33</v>
      </c>
      <c r="B16" s="8" t="s">
        <v>1037</v>
      </c>
      <c r="C16" s="8">
        <v>26</v>
      </c>
      <c r="D16" s="8" t="s">
        <v>720</v>
      </c>
      <c r="E16" s="8" t="s">
        <v>725</v>
      </c>
      <c r="F16" s="7" t="s">
        <v>732</v>
      </c>
      <c r="G16" s="7" t="s">
        <v>749</v>
      </c>
      <c r="H16" s="7" t="s">
        <v>805</v>
      </c>
      <c r="I16" s="11">
        <v>45802</v>
      </c>
      <c r="J16" s="7">
        <f t="shared" si="0"/>
        <v>8</v>
      </c>
      <c r="K16" s="9">
        <f t="shared" si="1"/>
        <v>80000</v>
      </c>
      <c r="L16" s="7">
        <v>2</v>
      </c>
      <c r="M16" s="9">
        <f t="shared" si="2"/>
        <v>160000</v>
      </c>
      <c r="N16" s="9">
        <f t="shared" si="3"/>
        <v>96000</v>
      </c>
      <c r="O16" s="7" t="s">
        <v>1006</v>
      </c>
      <c r="P16" s="10">
        <f t="shared" si="4"/>
        <v>0.12</v>
      </c>
      <c r="Q16" s="9">
        <f t="shared" si="5"/>
        <v>19200</v>
      </c>
      <c r="R16" s="9">
        <f t="shared" si="6"/>
        <v>140800</v>
      </c>
      <c r="S16" s="9" t="str">
        <f t="shared" si="7"/>
        <v>Profit</v>
      </c>
      <c r="T16" s="7" t="str">
        <f t="shared" si="8"/>
        <v>Apr</v>
      </c>
      <c r="U16" s="7">
        <f t="shared" si="9"/>
        <v>2025</v>
      </c>
      <c r="V16" s="7" t="str">
        <f t="shared" si="10"/>
        <v>25-30</v>
      </c>
    </row>
    <row r="17" spans="1:22" x14ac:dyDescent="0.3">
      <c r="A17" s="7" t="s">
        <v>34</v>
      </c>
      <c r="B17" s="8" t="s">
        <v>1038</v>
      </c>
      <c r="C17" s="8">
        <v>29</v>
      </c>
      <c r="D17" s="8" t="s">
        <v>720</v>
      </c>
      <c r="E17" s="8" t="s">
        <v>725</v>
      </c>
      <c r="F17" s="7" t="s">
        <v>728</v>
      </c>
      <c r="G17" s="7" t="s">
        <v>750</v>
      </c>
      <c r="H17" s="7" t="s">
        <v>964</v>
      </c>
      <c r="I17" s="11">
        <v>45830</v>
      </c>
      <c r="J17" s="7">
        <f t="shared" si="0"/>
        <v>8</v>
      </c>
      <c r="K17" s="9">
        <f t="shared" si="1"/>
        <v>80000</v>
      </c>
      <c r="L17" s="7">
        <v>2</v>
      </c>
      <c r="M17" s="9">
        <f t="shared" si="2"/>
        <v>160000</v>
      </c>
      <c r="N17" s="9">
        <f t="shared" si="3"/>
        <v>96000</v>
      </c>
      <c r="O17" s="7" t="s">
        <v>1007</v>
      </c>
      <c r="P17" s="10">
        <f t="shared" si="4"/>
        <v>0</v>
      </c>
      <c r="Q17" s="9">
        <f t="shared" si="5"/>
        <v>0</v>
      </c>
      <c r="R17" s="9">
        <f t="shared" si="6"/>
        <v>5000</v>
      </c>
      <c r="S17" s="9" t="str">
        <f t="shared" si="7"/>
        <v>Loss</v>
      </c>
      <c r="T17" s="7" t="str">
        <f t="shared" si="8"/>
        <v>May</v>
      </c>
      <c r="U17" s="7">
        <f t="shared" si="9"/>
        <v>2025</v>
      </c>
      <c r="V17" s="7" t="str">
        <f t="shared" si="10"/>
        <v>25-30</v>
      </c>
    </row>
    <row r="18" spans="1:22" x14ac:dyDescent="0.3">
      <c r="A18" s="7" t="s">
        <v>35</v>
      </c>
      <c r="B18" s="8" t="s">
        <v>1039</v>
      </c>
      <c r="C18" s="8">
        <v>21</v>
      </c>
      <c r="D18" s="8" t="s">
        <v>721</v>
      </c>
      <c r="E18" s="8" t="s">
        <v>722</v>
      </c>
      <c r="F18" s="7" t="s">
        <v>728</v>
      </c>
      <c r="G18" s="7" t="s">
        <v>751</v>
      </c>
      <c r="H18" s="7" t="s">
        <v>791</v>
      </c>
      <c r="I18" s="11">
        <v>45689</v>
      </c>
      <c r="J18" s="7">
        <f t="shared" si="0"/>
        <v>5</v>
      </c>
      <c r="K18" s="9">
        <f t="shared" si="1"/>
        <v>60000</v>
      </c>
      <c r="L18" s="7">
        <v>2</v>
      </c>
      <c r="M18" s="9">
        <f t="shared" si="2"/>
        <v>120000</v>
      </c>
      <c r="N18" s="9">
        <f t="shared" si="3"/>
        <v>78000</v>
      </c>
      <c r="O18" s="7" t="s">
        <v>1006</v>
      </c>
      <c r="P18" s="10">
        <f t="shared" si="4"/>
        <v>0.1</v>
      </c>
      <c r="Q18" s="9">
        <f t="shared" si="5"/>
        <v>12000</v>
      </c>
      <c r="R18" s="9">
        <f t="shared" si="6"/>
        <v>108000</v>
      </c>
      <c r="S18" s="9" t="str">
        <f t="shared" si="7"/>
        <v>Profit</v>
      </c>
      <c r="T18" s="7" t="str">
        <f t="shared" si="8"/>
        <v>Jan</v>
      </c>
      <c r="U18" s="7">
        <f t="shared" si="9"/>
        <v>2025</v>
      </c>
      <c r="V18" s="7" t="str">
        <f t="shared" si="10"/>
        <v>20-25</v>
      </c>
    </row>
    <row r="19" spans="1:22" x14ac:dyDescent="0.3">
      <c r="A19" s="7" t="s">
        <v>36</v>
      </c>
      <c r="B19" s="8" t="s">
        <v>1040</v>
      </c>
      <c r="C19" s="8">
        <v>27</v>
      </c>
      <c r="D19" s="8" t="s">
        <v>720</v>
      </c>
      <c r="E19" s="8" t="s">
        <v>724</v>
      </c>
      <c r="F19" s="7" t="s">
        <v>1736</v>
      </c>
      <c r="G19" s="7" t="s">
        <v>752</v>
      </c>
      <c r="H19" s="7" t="s">
        <v>824</v>
      </c>
      <c r="I19" s="11">
        <v>45821</v>
      </c>
      <c r="J19" s="7">
        <f t="shared" si="0"/>
        <v>10</v>
      </c>
      <c r="K19" s="9">
        <f t="shared" si="1"/>
        <v>120000</v>
      </c>
      <c r="L19" s="7">
        <v>1</v>
      </c>
      <c r="M19" s="9">
        <f t="shared" si="2"/>
        <v>120000</v>
      </c>
      <c r="N19" s="9">
        <f t="shared" si="3"/>
        <v>78000</v>
      </c>
      <c r="O19" s="7" t="s">
        <v>1006</v>
      </c>
      <c r="P19" s="10">
        <f t="shared" si="4"/>
        <v>0.15</v>
      </c>
      <c r="Q19" s="9">
        <f t="shared" si="5"/>
        <v>18000</v>
      </c>
      <c r="R19" s="9">
        <f t="shared" si="6"/>
        <v>102000</v>
      </c>
      <c r="S19" s="9" t="str">
        <f t="shared" si="7"/>
        <v>Profit</v>
      </c>
      <c r="T19" s="7" t="str">
        <f t="shared" si="8"/>
        <v>May</v>
      </c>
      <c r="U19" s="7">
        <f t="shared" si="9"/>
        <v>2025</v>
      </c>
      <c r="V19" s="7" t="str">
        <f t="shared" si="10"/>
        <v>25-30</v>
      </c>
    </row>
    <row r="20" spans="1:22" x14ac:dyDescent="0.3">
      <c r="A20" s="7" t="s">
        <v>37</v>
      </c>
      <c r="B20" s="8" t="s">
        <v>1041</v>
      </c>
      <c r="C20" s="8">
        <v>25</v>
      </c>
      <c r="D20" s="8" t="s">
        <v>720</v>
      </c>
      <c r="E20" s="8" t="s">
        <v>725</v>
      </c>
      <c r="F20" s="7" t="s">
        <v>730</v>
      </c>
      <c r="G20" s="7" t="s">
        <v>753</v>
      </c>
      <c r="H20" s="7" t="s">
        <v>875</v>
      </c>
      <c r="I20" s="11">
        <v>45891</v>
      </c>
      <c r="J20" s="7">
        <f t="shared" si="0"/>
        <v>8</v>
      </c>
      <c r="K20" s="9">
        <f t="shared" si="1"/>
        <v>80000</v>
      </c>
      <c r="L20" s="7">
        <v>2</v>
      </c>
      <c r="M20" s="9">
        <f t="shared" si="2"/>
        <v>160000</v>
      </c>
      <c r="N20" s="9">
        <f t="shared" si="3"/>
        <v>96000</v>
      </c>
      <c r="O20" s="7" t="s">
        <v>1007</v>
      </c>
      <c r="P20" s="10">
        <f t="shared" si="4"/>
        <v>0</v>
      </c>
      <c r="Q20" s="9">
        <f t="shared" si="5"/>
        <v>0</v>
      </c>
      <c r="R20" s="9">
        <f t="shared" si="6"/>
        <v>5000</v>
      </c>
      <c r="S20" s="9" t="str">
        <f t="shared" si="7"/>
        <v>Loss</v>
      </c>
      <c r="T20" s="7" t="str">
        <f t="shared" si="8"/>
        <v>Aug</v>
      </c>
      <c r="U20" s="7">
        <f t="shared" si="9"/>
        <v>2025</v>
      </c>
      <c r="V20" s="7" t="str">
        <f t="shared" si="10"/>
        <v>25-30</v>
      </c>
    </row>
    <row r="21" spans="1:22" x14ac:dyDescent="0.3">
      <c r="A21" s="7" t="s">
        <v>38</v>
      </c>
      <c r="B21" s="8" t="s">
        <v>1042</v>
      </c>
      <c r="C21" s="8">
        <v>58</v>
      </c>
      <c r="D21" s="8" t="s">
        <v>721</v>
      </c>
      <c r="E21" s="8" t="s">
        <v>724</v>
      </c>
      <c r="F21" s="7" t="s">
        <v>735</v>
      </c>
      <c r="G21" s="7" t="s">
        <v>754</v>
      </c>
      <c r="H21" s="7" t="s">
        <v>948</v>
      </c>
      <c r="I21" s="11">
        <v>45749</v>
      </c>
      <c r="J21" s="7">
        <f t="shared" si="0"/>
        <v>10</v>
      </c>
      <c r="K21" s="9">
        <f t="shared" si="1"/>
        <v>120000</v>
      </c>
      <c r="L21" s="7">
        <v>2</v>
      </c>
      <c r="M21" s="9">
        <f t="shared" si="2"/>
        <v>240000</v>
      </c>
      <c r="N21" s="9">
        <f t="shared" si="3"/>
        <v>156000</v>
      </c>
      <c r="O21" s="7" t="s">
        <v>1006</v>
      </c>
      <c r="P21" s="10">
        <f t="shared" si="4"/>
        <v>0.15</v>
      </c>
      <c r="Q21" s="9">
        <f t="shared" si="5"/>
        <v>36000</v>
      </c>
      <c r="R21" s="9">
        <f t="shared" si="6"/>
        <v>204000</v>
      </c>
      <c r="S21" s="9" t="str">
        <f t="shared" si="7"/>
        <v>Profit</v>
      </c>
      <c r="T21" s="7" t="str">
        <f t="shared" si="8"/>
        <v>Mar</v>
      </c>
      <c r="U21" s="7">
        <f t="shared" si="9"/>
        <v>2025</v>
      </c>
      <c r="V21" s="7" t="str">
        <f t="shared" si="10"/>
        <v>55-60</v>
      </c>
    </row>
    <row r="22" spans="1:22" x14ac:dyDescent="0.3">
      <c r="A22" s="7" t="s">
        <v>39</v>
      </c>
      <c r="B22" s="8" t="s">
        <v>1043</v>
      </c>
      <c r="C22" s="8">
        <v>37</v>
      </c>
      <c r="D22" s="8" t="s">
        <v>720</v>
      </c>
      <c r="E22" s="8" t="s">
        <v>723</v>
      </c>
      <c r="F22" s="7" t="s">
        <v>733</v>
      </c>
      <c r="G22" s="7" t="s">
        <v>755</v>
      </c>
      <c r="H22" s="7" t="s">
        <v>809</v>
      </c>
      <c r="I22" s="7" t="s">
        <v>840</v>
      </c>
      <c r="J22" s="7">
        <f t="shared" si="0"/>
        <v>7</v>
      </c>
      <c r="K22" s="9">
        <f t="shared" si="1"/>
        <v>70000</v>
      </c>
      <c r="L22" s="7">
        <v>2</v>
      </c>
      <c r="M22" s="9">
        <f t="shared" si="2"/>
        <v>140000</v>
      </c>
      <c r="N22" s="9">
        <f t="shared" si="3"/>
        <v>84000</v>
      </c>
      <c r="O22" s="7" t="s">
        <v>1006</v>
      </c>
      <c r="P22" s="10">
        <f t="shared" si="4"/>
        <v>7.0000000000000007E-2</v>
      </c>
      <c r="Q22" s="9">
        <f t="shared" si="5"/>
        <v>9800.0000000000018</v>
      </c>
      <c r="R22" s="9">
        <f t="shared" si="6"/>
        <v>130200</v>
      </c>
      <c r="S22" s="9" t="str">
        <f t="shared" si="7"/>
        <v>Profit</v>
      </c>
      <c r="T22" s="7" t="str">
        <f t="shared" si="8"/>
        <v>May</v>
      </c>
      <c r="U22" s="7">
        <f t="shared" si="9"/>
        <v>2025</v>
      </c>
      <c r="V22" s="7" t="str">
        <f t="shared" si="10"/>
        <v>35-40</v>
      </c>
    </row>
    <row r="23" spans="1:22" x14ac:dyDescent="0.3">
      <c r="A23" s="7" t="s">
        <v>40</v>
      </c>
      <c r="B23" s="8" t="s">
        <v>1044</v>
      </c>
      <c r="C23" s="8">
        <v>54</v>
      </c>
      <c r="D23" s="8" t="s">
        <v>721</v>
      </c>
      <c r="E23" s="8" t="s">
        <v>722</v>
      </c>
      <c r="F23" s="7" t="s">
        <v>730</v>
      </c>
      <c r="G23" s="7" t="s">
        <v>756</v>
      </c>
      <c r="H23" s="7" t="s">
        <v>912</v>
      </c>
      <c r="I23" s="12">
        <v>45759</v>
      </c>
      <c r="J23" s="7">
        <f t="shared" si="0"/>
        <v>5</v>
      </c>
      <c r="K23" s="9">
        <f t="shared" si="1"/>
        <v>60000</v>
      </c>
      <c r="L23" s="7">
        <v>1</v>
      </c>
      <c r="M23" s="9">
        <f t="shared" si="2"/>
        <v>60000</v>
      </c>
      <c r="N23" s="9">
        <f t="shared" si="3"/>
        <v>39000</v>
      </c>
      <c r="O23" s="7" t="s">
        <v>1007</v>
      </c>
      <c r="P23" s="10">
        <f t="shared" si="4"/>
        <v>0</v>
      </c>
      <c r="Q23" s="9">
        <f t="shared" si="5"/>
        <v>0</v>
      </c>
      <c r="R23" s="9">
        <f t="shared" si="6"/>
        <v>5000</v>
      </c>
      <c r="S23" s="9" t="str">
        <f t="shared" si="7"/>
        <v>Loss</v>
      </c>
      <c r="T23" s="7" t="str">
        <f t="shared" si="8"/>
        <v>Mar</v>
      </c>
      <c r="U23" s="7">
        <f t="shared" si="9"/>
        <v>2025</v>
      </c>
      <c r="V23" s="7" t="str">
        <f t="shared" si="10"/>
        <v>50-55</v>
      </c>
    </row>
    <row r="24" spans="1:22" x14ac:dyDescent="0.3">
      <c r="A24" s="7" t="s">
        <v>41</v>
      </c>
      <c r="B24" s="8" t="s">
        <v>1045</v>
      </c>
      <c r="C24" s="8">
        <v>24</v>
      </c>
      <c r="D24" s="8" t="s">
        <v>721</v>
      </c>
      <c r="E24" s="8" t="s">
        <v>725</v>
      </c>
      <c r="F24" s="7" t="s">
        <v>731</v>
      </c>
      <c r="G24" s="7" t="s">
        <v>755</v>
      </c>
      <c r="H24" s="7" t="s">
        <v>850</v>
      </c>
      <c r="I24" s="12">
        <v>45812</v>
      </c>
      <c r="J24" s="7">
        <f t="shared" si="0"/>
        <v>8</v>
      </c>
      <c r="K24" s="9">
        <f t="shared" si="1"/>
        <v>80000</v>
      </c>
      <c r="L24" s="7">
        <v>2</v>
      </c>
      <c r="M24" s="9">
        <f t="shared" si="2"/>
        <v>160000</v>
      </c>
      <c r="N24" s="9">
        <f t="shared" si="3"/>
        <v>96000</v>
      </c>
      <c r="O24" s="7" t="s">
        <v>1006</v>
      </c>
      <c r="P24" s="10">
        <f t="shared" si="4"/>
        <v>0.12</v>
      </c>
      <c r="Q24" s="9">
        <f t="shared" si="5"/>
        <v>19200</v>
      </c>
      <c r="R24" s="9">
        <f t="shared" si="6"/>
        <v>140800</v>
      </c>
      <c r="S24" s="9" t="str">
        <f t="shared" si="7"/>
        <v>Profit</v>
      </c>
      <c r="T24" s="7" t="str">
        <f t="shared" si="8"/>
        <v>May</v>
      </c>
      <c r="U24" s="7">
        <f t="shared" si="9"/>
        <v>2025</v>
      </c>
      <c r="V24" s="7" t="str">
        <f t="shared" si="10"/>
        <v>20-25</v>
      </c>
    </row>
    <row r="25" spans="1:22" x14ac:dyDescent="0.3">
      <c r="A25" s="7" t="s">
        <v>42</v>
      </c>
      <c r="B25" s="8" t="s">
        <v>1046</v>
      </c>
      <c r="C25" s="8">
        <v>30</v>
      </c>
      <c r="D25" s="8" t="s">
        <v>721</v>
      </c>
      <c r="E25" s="8" t="s">
        <v>725</v>
      </c>
      <c r="F25" s="7" t="s">
        <v>733</v>
      </c>
      <c r="G25" s="7" t="s">
        <v>757</v>
      </c>
      <c r="H25" s="7" t="s">
        <v>918</v>
      </c>
      <c r="I25" s="13" t="s">
        <v>881</v>
      </c>
      <c r="J25" s="7">
        <f t="shared" si="0"/>
        <v>8</v>
      </c>
      <c r="K25" s="9">
        <f t="shared" si="1"/>
        <v>80000</v>
      </c>
      <c r="L25" s="7">
        <v>2</v>
      </c>
      <c r="M25" s="9">
        <f t="shared" si="2"/>
        <v>160000</v>
      </c>
      <c r="N25" s="9">
        <f t="shared" si="3"/>
        <v>96000</v>
      </c>
      <c r="O25" s="7" t="s">
        <v>1006</v>
      </c>
      <c r="P25" s="10">
        <f t="shared" si="4"/>
        <v>0.12</v>
      </c>
      <c r="Q25" s="9">
        <f t="shared" si="5"/>
        <v>19200</v>
      </c>
      <c r="R25" s="9">
        <f t="shared" si="6"/>
        <v>140800</v>
      </c>
      <c r="S25" s="9" t="str">
        <f t="shared" si="7"/>
        <v>Profit</v>
      </c>
      <c r="T25" s="7" t="str">
        <f t="shared" si="8"/>
        <v>Jun</v>
      </c>
      <c r="U25" s="7">
        <f t="shared" si="9"/>
        <v>2025</v>
      </c>
      <c r="V25" s="7" t="str">
        <f t="shared" si="10"/>
        <v>30-35</v>
      </c>
    </row>
    <row r="26" spans="1:22" x14ac:dyDescent="0.3">
      <c r="A26" s="7" t="s">
        <v>43</v>
      </c>
      <c r="B26" s="8" t="s">
        <v>1047</v>
      </c>
      <c r="C26" s="8">
        <v>21</v>
      </c>
      <c r="D26" s="8" t="s">
        <v>721</v>
      </c>
      <c r="E26" s="8" t="s">
        <v>724</v>
      </c>
      <c r="F26" s="7" t="s">
        <v>729</v>
      </c>
      <c r="G26" s="7" t="s">
        <v>758</v>
      </c>
      <c r="H26" s="7" t="s">
        <v>880</v>
      </c>
      <c r="I26" s="12">
        <v>45679</v>
      </c>
      <c r="J26" s="7">
        <f t="shared" si="0"/>
        <v>10</v>
      </c>
      <c r="K26" s="9">
        <f t="shared" si="1"/>
        <v>120000</v>
      </c>
      <c r="L26" s="7">
        <v>2</v>
      </c>
      <c r="M26" s="9">
        <f t="shared" si="2"/>
        <v>240000</v>
      </c>
      <c r="N26" s="9">
        <f t="shared" si="3"/>
        <v>156000</v>
      </c>
      <c r="O26" s="7" t="s">
        <v>1006</v>
      </c>
      <c r="P26" s="10">
        <f t="shared" si="4"/>
        <v>0.15</v>
      </c>
      <c r="Q26" s="9">
        <f t="shared" si="5"/>
        <v>36000</v>
      </c>
      <c r="R26" s="9">
        <f t="shared" si="6"/>
        <v>204000</v>
      </c>
      <c r="S26" s="9" t="str">
        <f t="shared" si="7"/>
        <v>Profit</v>
      </c>
      <c r="T26" s="7" t="str">
        <f t="shared" si="8"/>
        <v>Jan</v>
      </c>
      <c r="U26" s="7">
        <f t="shared" si="9"/>
        <v>2025</v>
      </c>
      <c r="V26" s="7" t="str">
        <f t="shared" si="10"/>
        <v>20-25</v>
      </c>
    </row>
    <row r="27" spans="1:22" x14ac:dyDescent="0.3">
      <c r="A27" s="7" t="s">
        <v>44</v>
      </c>
      <c r="B27" s="8" t="s">
        <v>1048</v>
      </c>
      <c r="C27" s="8">
        <v>35</v>
      </c>
      <c r="D27" s="8" t="s">
        <v>720</v>
      </c>
      <c r="E27" s="8" t="s">
        <v>723</v>
      </c>
      <c r="F27" s="7" t="s">
        <v>734</v>
      </c>
      <c r="G27" s="7" t="s">
        <v>757</v>
      </c>
      <c r="H27" s="7" t="s">
        <v>943</v>
      </c>
      <c r="I27" s="12">
        <v>45859</v>
      </c>
      <c r="J27" s="7">
        <f t="shared" si="0"/>
        <v>7</v>
      </c>
      <c r="K27" s="9">
        <f t="shared" si="1"/>
        <v>70000</v>
      </c>
      <c r="L27" s="7">
        <v>1</v>
      </c>
      <c r="M27" s="9">
        <f t="shared" si="2"/>
        <v>70000</v>
      </c>
      <c r="N27" s="9">
        <f t="shared" si="3"/>
        <v>42000</v>
      </c>
      <c r="O27" s="7" t="s">
        <v>1006</v>
      </c>
      <c r="P27" s="10">
        <f t="shared" si="4"/>
        <v>7.0000000000000007E-2</v>
      </c>
      <c r="Q27" s="9">
        <f t="shared" si="5"/>
        <v>4900.0000000000009</v>
      </c>
      <c r="R27" s="9">
        <f t="shared" si="6"/>
        <v>65100</v>
      </c>
      <c r="S27" s="9" t="str">
        <f t="shared" si="7"/>
        <v>Profit</v>
      </c>
      <c r="T27" s="7" t="str">
        <f t="shared" si="8"/>
        <v>Jun</v>
      </c>
      <c r="U27" s="7">
        <f t="shared" si="9"/>
        <v>2025</v>
      </c>
      <c r="V27" s="7" t="str">
        <f t="shared" si="10"/>
        <v>35-40</v>
      </c>
    </row>
    <row r="28" spans="1:22" x14ac:dyDescent="0.3">
      <c r="A28" s="7" t="s">
        <v>45</v>
      </c>
      <c r="B28" s="8" t="s">
        <v>1049</v>
      </c>
      <c r="C28" s="8">
        <v>39</v>
      </c>
      <c r="D28" s="8" t="s">
        <v>720</v>
      </c>
      <c r="E28" s="8" t="s">
        <v>724</v>
      </c>
      <c r="F28" s="7" t="s">
        <v>727</v>
      </c>
      <c r="G28" s="7" t="s">
        <v>759</v>
      </c>
      <c r="H28" s="7" t="s">
        <v>917</v>
      </c>
      <c r="I28" s="12">
        <v>45879</v>
      </c>
      <c r="J28" s="7">
        <f t="shared" si="0"/>
        <v>10</v>
      </c>
      <c r="K28" s="9">
        <f t="shared" si="1"/>
        <v>120000</v>
      </c>
      <c r="L28" s="7">
        <v>3</v>
      </c>
      <c r="M28" s="9">
        <f t="shared" si="2"/>
        <v>360000</v>
      </c>
      <c r="N28" s="9">
        <f t="shared" si="3"/>
        <v>234000</v>
      </c>
      <c r="O28" s="7" t="s">
        <v>1007</v>
      </c>
      <c r="P28" s="10">
        <f t="shared" si="4"/>
        <v>0</v>
      </c>
      <c r="Q28" s="9">
        <f t="shared" si="5"/>
        <v>0</v>
      </c>
      <c r="R28" s="9">
        <f t="shared" si="6"/>
        <v>5000</v>
      </c>
      <c r="S28" s="9" t="str">
        <f t="shared" si="7"/>
        <v>Loss</v>
      </c>
      <c r="T28" s="7" t="str">
        <f t="shared" si="8"/>
        <v>Jul</v>
      </c>
      <c r="U28" s="7">
        <f t="shared" si="9"/>
        <v>2025</v>
      </c>
      <c r="V28" s="7" t="str">
        <f t="shared" si="10"/>
        <v>35-40</v>
      </c>
    </row>
    <row r="29" spans="1:22" x14ac:dyDescent="0.3">
      <c r="A29" s="7" t="s">
        <v>46</v>
      </c>
      <c r="B29" s="8" t="s">
        <v>1050</v>
      </c>
      <c r="C29" s="8">
        <v>25</v>
      </c>
      <c r="D29" s="8" t="s">
        <v>720</v>
      </c>
      <c r="E29" s="8" t="s">
        <v>722</v>
      </c>
      <c r="F29" s="7" t="s">
        <v>732</v>
      </c>
      <c r="G29" s="7" t="s">
        <v>760</v>
      </c>
      <c r="H29" s="7" t="s">
        <v>907</v>
      </c>
      <c r="I29" s="12">
        <v>45749</v>
      </c>
      <c r="J29" s="7">
        <f t="shared" si="0"/>
        <v>5</v>
      </c>
      <c r="K29" s="9">
        <f t="shared" si="1"/>
        <v>60000</v>
      </c>
      <c r="L29" s="7">
        <v>2</v>
      </c>
      <c r="M29" s="9">
        <f t="shared" si="2"/>
        <v>120000</v>
      </c>
      <c r="N29" s="9">
        <f t="shared" si="3"/>
        <v>78000</v>
      </c>
      <c r="O29" s="7" t="s">
        <v>1006</v>
      </c>
      <c r="P29" s="10">
        <f t="shared" si="4"/>
        <v>0.1</v>
      </c>
      <c r="Q29" s="9">
        <f t="shared" si="5"/>
        <v>12000</v>
      </c>
      <c r="R29" s="9">
        <f t="shared" si="6"/>
        <v>108000</v>
      </c>
      <c r="S29" s="9" t="str">
        <f t="shared" si="7"/>
        <v>Profit</v>
      </c>
      <c r="T29" s="7" t="str">
        <f t="shared" si="8"/>
        <v>Mar</v>
      </c>
      <c r="U29" s="7">
        <f t="shared" si="9"/>
        <v>2025</v>
      </c>
      <c r="V29" s="7" t="str">
        <f t="shared" si="10"/>
        <v>25-30</v>
      </c>
    </row>
    <row r="30" spans="1:22" x14ac:dyDescent="0.3">
      <c r="A30" s="7" t="s">
        <v>47</v>
      </c>
      <c r="B30" s="8" t="s">
        <v>1051</v>
      </c>
      <c r="C30" s="8">
        <v>23</v>
      </c>
      <c r="D30" s="8" t="s">
        <v>721</v>
      </c>
      <c r="E30" s="8" t="s">
        <v>724</v>
      </c>
      <c r="F30" s="7" t="s">
        <v>735</v>
      </c>
      <c r="G30" s="7" t="s">
        <v>761</v>
      </c>
      <c r="H30" s="7" t="s">
        <v>773</v>
      </c>
      <c r="I30" s="7" t="s">
        <v>936</v>
      </c>
      <c r="J30" s="7">
        <f t="shared" si="0"/>
        <v>10</v>
      </c>
      <c r="K30" s="9">
        <f t="shared" si="1"/>
        <v>120000</v>
      </c>
      <c r="L30" s="7">
        <v>3</v>
      </c>
      <c r="M30" s="9">
        <f t="shared" si="2"/>
        <v>360000</v>
      </c>
      <c r="N30" s="9">
        <f t="shared" si="3"/>
        <v>234000</v>
      </c>
      <c r="O30" s="7" t="s">
        <v>1007</v>
      </c>
      <c r="P30" s="10">
        <f t="shared" si="4"/>
        <v>0</v>
      </c>
      <c r="Q30" s="9">
        <f t="shared" si="5"/>
        <v>0</v>
      </c>
      <c r="R30" s="9">
        <f t="shared" si="6"/>
        <v>5000</v>
      </c>
      <c r="S30" s="9" t="str">
        <f t="shared" si="7"/>
        <v>Loss</v>
      </c>
      <c r="T30" s="7" t="str">
        <f t="shared" si="8"/>
        <v>Jan</v>
      </c>
      <c r="U30" s="7">
        <f t="shared" si="9"/>
        <v>2025</v>
      </c>
      <c r="V30" s="7" t="str">
        <f t="shared" si="10"/>
        <v>20-25</v>
      </c>
    </row>
    <row r="31" spans="1:22" x14ac:dyDescent="0.3">
      <c r="A31" s="7" t="s">
        <v>48</v>
      </c>
      <c r="B31" s="8" t="s">
        <v>1052</v>
      </c>
      <c r="C31" s="8">
        <v>18</v>
      </c>
      <c r="D31" s="8" t="s">
        <v>721</v>
      </c>
      <c r="E31" s="8" t="s">
        <v>723</v>
      </c>
      <c r="F31" s="7" t="s">
        <v>727</v>
      </c>
      <c r="G31" s="7" t="s">
        <v>762</v>
      </c>
      <c r="H31" s="7" t="s">
        <v>852</v>
      </c>
      <c r="I31" s="7" t="s">
        <v>740</v>
      </c>
      <c r="J31" s="7">
        <f t="shared" si="0"/>
        <v>7</v>
      </c>
      <c r="K31" s="9">
        <f t="shared" si="1"/>
        <v>70000</v>
      </c>
      <c r="L31" s="7">
        <v>4</v>
      </c>
      <c r="M31" s="9">
        <f t="shared" si="2"/>
        <v>280000</v>
      </c>
      <c r="N31" s="9">
        <f t="shared" si="3"/>
        <v>168000</v>
      </c>
      <c r="O31" s="7" t="s">
        <v>1006</v>
      </c>
      <c r="P31" s="10">
        <f t="shared" si="4"/>
        <v>7.0000000000000007E-2</v>
      </c>
      <c r="Q31" s="9">
        <f t="shared" si="5"/>
        <v>19600.000000000004</v>
      </c>
      <c r="R31" s="9">
        <f t="shared" si="6"/>
        <v>260400</v>
      </c>
      <c r="S31" s="9" t="str">
        <f t="shared" si="7"/>
        <v>Profit</v>
      </c>
      <c r="T31" s="7" t="str">
        <f t="shared" si="8"/>
        <v>Mar</v>
      </c>
      <c r="U31" s="7">
        <f t="shared" si="9"/>
        <v>2025</v>
      </c>
      <c r="V31" s="7" t="str">
        <f t="shared" si="10"/>
        <v>15-20</v>
      </c>
    </row>
    <row r="32" spans="1:22" x14ac:dyDescent="0.3">
      <c r="A32" s="7" t="s">
        <v>49</v>
      </c>
      <c r="B32" s="8" t="s">
        <v>1053</v>
      </c>
      <c r="C32" s="8">
        <v>31</v>
      </c>
      <c r="D32" s="8" t="s">
        <v>721</v>
      </c>
      <c r="E32" s="8" t="s">
        <v>725</v>
      </c>
      <c r="F32" s="7" t="s">
        <v>728</v>
      </c>
      <c r="G32" s="7" t="s">
        <v>763</v>
      </c>
      <c r="H32" s="7" t="s">
        <v>773</v>
      </c>
      <c r="I32" s="7" t="s">
        <v>972</v>
      </c>
      <c r="J32" s="7">
        <f t="shared" si="0"/>
        <v>8</v>
      </c>
      <c r="K32" s="9">
        <f t="shared" si="1"/>
        <v>80000</v>
      </c>
      <c r="L32" s="7">
        <v>2</v>
      </c>
      <c r="M32" s="9">
        <f t="shared" si="2"/>
        <v>160000</v>
      </c>
      <c r="N32" s="9">
        <f t="shared" si="3"/>
        <v>96000</v>
      </c>
      <c r="O32" s="7" t="s">
        <v>1006</v>
      </c>
      <c r="P32" s="10">
        <f t="shared" si="4"/>
        <v>0.12</v>
      </c>
      <c r="Q32" s="9">
        <f t="shared" si="5"/>
        <v>19200</v>
      </c>
      <c r="R32" s="9">
        <f t="shared" si="6"/>
        <v>140800</v>
      </c>
      <c r="S32" s="9" t="str">
        <f t="shared" si="7"/>
        <v>Profit</v>
      </c>
      <c r="T32" s="7" t="str">
        <f t="shared" si="8"/>
        <v>Feb</v>
      </c>
      <c r="U32" s="7">
        <f t="shared" si="9"/>
        <v>2025</v>
      </c>
      <c r="V32" s="7" t="str">
        <f t="shared" si="10"/>
        <v>30-35</v>
      </c>
    </row>
    <row r="33" spans="1:22" x14ac:dyDescent="0.3">
      <c r="A33" s="7" t="s">
        <v>50</v>
      </c>
      <c r="B33" s="8" t="s">
        <v>1054</v>
      </c>
      <c r="C33" s="8">
        <v>39</v>
      </c>
      <c r="D33" s="8" t="s">
        <v>721</v>
      </c>
      <c r="E33" s="8" t="s">
        <v>724</v>
      </c>
      <c r="F33" s="7" t="s">
        <v>1736</v>
      </c>
      <c r="G33" s="7" t="s">
        <v>764</v>
      </c>
      <c r="H33" s="7" t="s">
        <v>947</v>
      </c>
      <c r="I33" s="7" t="s">
        <v>949</v>
      </c>
      <c r="J33" s="7">
        <f t="shared" si="0"/>
        <v>10</v>
      </c>
      <c r="K33" s="9">
        <f t="shared" si="1"/>
        <v>120000</v>
      </c>
      <c r="L33" s="7">
        <v>4</v>
      </c>
      <c r="M33" s="9">
        <f t="shared" si="2"/>
        <v>480000</v>
      </c>
      <c r="N33" s="9">
        <f t="shared" si="3"/>
        <v>312000</v>
      </c>
      <c r="O33" s="7" t="s">
        <v>1006</v>
      </c>
      <c r="P33" s="10">
        <f t="shared" si="4"/>
        <v>0.15</v>
      </c>
      <c r="Q33" s="9">
        <f t="shared" si="5"/>
        <v>72000</v>
      </c>
      <c r="R33" s="9">
        <f t="shared" si="6"/>
        <v>408000</v>
      </c>
      <c r="S33" s="9" t="str">
        <f t="shared" si="7"/>
        <v>Profit</v>
      </c>
      <c r="T33" s="7" t="str">
        <f t="shared" si="8"/>
        <v>Jul</v>
      </c>
      <c r="U33" s="7">
        <f t="shared" si="9"/>
        <v>2025</v>
      </c>
      <c r="V33" s="7" t="str">
        <f t="shared" si="10"/>
        <v>35-40</v>
      </c>
    </row>
    <row r="34" spans="1:22" x14ac:dyDescent="0.3">
      <c r="A34" s="7" t="s">
        <v>51</v>
      </c>
      <c r="B34" s="8" t="s">
        <v>1055</v>
      </c>
      <c r="C34" s="8">
        <v>21</v>
      </c>
      <c r="D34" s="8" t="s">
        <v>720</v>
      </c>
      <c r="E34" s="8" t="s">
        <v>726</v>
      </c>
      <c r="F34" s="7" t="s">
        <v>732</v>
      </c>
      <c r="G34" s="7" t="s">
        <v>765</v>
      </c>
      <c r="H34" s="7" t="s">
        <v>843</v>
      </c>
      <c r="I34" s="7" t="s">
        <v>891</v>
      </c>
      <c r="J34" s="7">
        <f t="shared" si="0"/>
        <v>4</v>
      </c>
      <c r="K34" s="9">
        <f t="shared" si="1"/>
        <v>18000</v>
      </c>
      <c r="L34" s="7">
        <v>1</v>
      </c>
      <c r="M34" s="9">
        <f t="shared" si="2"/>
        <v>18000</v>
      </c>
      <c r="N34" s="9">
        <f t="shared" si="3"/>
        <v>9000</v>
      </c>
      <c r="O34" s="7" t="s">
        <v>1006</v>
      </c>
      <c r="P34" s="10">
        <f t="shared" si="4"/>
        <v>0.05</v>
      </c>
      <c r="Q34" s="9">
        <f t="shared" si="5"/>
        <v>900</v>
      </c>
      <c r="R34" s="9">
        <f t="shared" si="6"/>
        <v>17100</v>
      </c>
      <c r="S34" s="9" t="str">
        <f t="shared" si="7"/>
        <v>Profit</v>
      </c>
      <c r="T34" s="7" t="str">
        <f t="shared" si="8"/>
        <v>Jun</v>
      </c>
      <c r="U34" s="7">
        <f t="shared" si="9"/>
        <v>2025</v>
      </c>
      <c r="V34" s="7" t="str">
        <f t="shared" si="10"/>
        <v>20-25</v>
      </c>
    </row>
    <row r="35" spans="1:22" x14ac:dyDescent="0.3">
      <c r="A35" s="7" t="s">
        <v>52</v>
      </c>
      <c r="B35" s="8" t="s">
        <v>1056</v>
      </c>
      <c r="C35" s="8">
        <v>27</v>
      </c>
      <c r="D35" s="8" t="s">
        <v>721</v>
      </c>
      <c r="E35" s="8" t="s">
        <v>722</v>
      </c>
      <c r="F35" s="7" t="s">
        <v>731</v>
      </c>
      <c r="G35" s="7" t="s">
        <v>766</v>
      </c>
      <c r="H35" s="7" t="s">
        <v>752</v>
      </c>
      <c r="I35" s="7" t="s">
        <v>820</v>
      </c>
      <c r="J35" s="7">
        <f t="shared" si="0"/>
        <v>5</v>
      </c>
      <c r="K35" s="9">
        <f t="shared" si="1"/>
        <v>60000</v>
      </c>
      <c r="L35" s="7">
        <v>4</v>
      </c>
      <c r="M35" s="9">
        <f t="shared" si="2"/>
        <v>240000</v>
      </c>
      <c r="N35" s="9">
        <f t="shared" si="3"/>
        <v>156000</v>
      </c>
      <c r="O35" s="7" t="s">
        <v>1007</v>
      </c>
      <c r="P35" s="10">
        <f t="shared" si="4"/>
        <v>0</v>
      </c>
      <c r="Q35" s="9">
        <f t="shared" si="5"/>
        <v>0</v>
      </c>
      <c r="R35" s="9">
        <f t="shared" si="6"/>
        <v>5000</v>
      </c>
      <c r="S35" s="9" t="str">
        <f t="shared" si="7"/>
        <v>Loss</v>
      </c>
      <c r="T35" s="7" t="str">
        <f t="shared" si="8"/>
        <v>Apr</v>
      </c>
      <c r="U35" s="7">
        <f t="shared" si="9"/>
        <v>2025</v>
      </c>
      <c r="V35" s="7" t="str">
        <f t="shared" si="10"/>
        <v>25-30</v>
      </c>
    </row>
    <row r="36" spans="1:22" x14ac:dyDescent="0.3">
      <c r="A36" s="7" t="s">
        <v>53</v>
      </c>
      <c r="B36" s="8" t="s">
        <v>1057</v>
      </c>
      <c r="C36" s="8">
        <v>30</v>
      </c>
      <c r="D36" s="8" t="s">
        <v>721</v>
      </c>
      <c r="E36" s="8" t="s">
        <v>725</v>
      </c>
      <c r="F36" s="7" t="s">
        <v>729</v>
      </c>
      <c r="G36" s="7" t="s">
        <v>767</v>
      </c>
      <c r="H36" s="7" t="s">
        <v>858</v>
      </c>
      <c r="I36" s="7" t="s">
        <v>889</v>
      </c>
      <c r="J36" s="7">
        <f t="shared" si="0"/>
        <v>8</v>
      </c>
      <c r="K36" s="9">
        <f t="shared" si="1"/>
        <v>80000</v>
      </c>
      <c r="L36" s="7">
        <v>2</v>
      </c>
      <c r="M36" s="9">
        <f t="shared" si="2"/>
        <v>160000</v>
      </c>
      <c r="N36" s="9">
        <f t="shared" si="3"/>
        <v>96000</v>
      </c>
      <c r="O36" s="7" t="s">
        <v>1006</v>
      </c>
      <c r="P36" s="10">
        <f t="shared" si="4"/>
        <v>0.12</v>
      </c>
      <c r="Q36" s="9">
        <f t="shared" si="5"/>
        <v>19200</v>
      </c>
      <c r="R36" s="9">
        <f t="shared" si="6"/>
        <v>140800</v>
      </c>
      <c r="S36" s="9" t="str">
        <f t="shared" si="7"/>
        <v>Profit</v>
      </c>
      <c r="T36" s="7" t="str">
        <f t="shared" si="8"/>
        <v>Apr</v>
      </c>
      <c r="U36" s="7">
        <f t="shared" si="9"/>
        <v>2025</v>
      </c>
      <c r="V36" s="7" t="str">
        <f t="shared" si="10"/>
        <v>30-35</v>
      </c>
    </row>
    <row r="37" spans="1:22" x14ac:dyDescent="0.3">
      <c r="A37" s="7" t="s">
        <v>54</v>
      </c>
      <c r="B37" s="8" t="s">
        <v>1058</v>
      </c>
      <c r="C37" s="8">
        <v>29</v>
      </c>
      <c r="D37" s="8" t="s">
        <v>721</v>
      </c>
      <c r="E37" s="8" t="s">
        <v>726</v>
      </c>
      <c r="F37" s="7" t="s">
        <v>1726</v>
      </c>
      <c r="G37" s="7" t="s">
        <v>754</v>
      </c>
      <c r="H37" s="7" t="s">
        <v>767</v>
      </c>
      <c r="I37" s="7" t="s">
        <v>928</v>
      </c>
      <c r="J37" s="7">
        <f t="shared" si="0"/>
        <v>4</v>
      </c>
      <c r="K37" s="9">
        <f t="shared" si="1"/>
        <v>18000</v>
      </c>
      <c r="L37" s="7">
        <v>4</v>
      </c>
      <c r="M37" s="9">
        <f t="shared" si="2"/>
        <v>72000</v>
      </c>
      <c r="N37" s="9">
        <f t="shared" si="3"/>
        <v>36000</v>
      </c>
      <c r="O37" s="7" t="s">
        <v>1007</v>
      </c>
      <c r="P37" s="10">
        <f t="shared" si="4"/>
        <v>0</v>
      </c>
      <c r="Q37" s="9">
        <f t="shared" si="5"/>
        <v>0</v>
      </c>
      <c r="R37" s="9">
        <f t="shared" si="6"/>
        <v>5000</v>
      </c>
      <c r="S37" s="9" t="str">
        <f t="shared" si="7"/>
        <v>Loss</v>
      </c>
      <c r="T37" s="7" t="str">
        <f t="shared" si="8"/>
        <v>Mar</v>
      </c>
      <c r="U37" s="7">
        <f t="shared" si="9"/>
        <v>2025</v>
      </c>
      <c r="V37" s="7" t="str">
        <f t="shared" si="10"/>
        <v>25-30</v>
      </c>
    </row>
    <row r="38" spans="1:22" x14ac:dyDescent="0.3">
      <c r="A38" s="7" t="s">
        <v>55</v>
      </c>
      <c r="B38" s="8" t="s">
        <v>1059</v>
      </c>
      <c r="C38" s="8">
        <v>27</v>
      </c>
      <c r="D38" s="8" t="s">
        <v>721</v>
      </c>
      <c r="E38" s="8" t="s">
        <v>725</v>
      </c>
      <c r="F38" s="7" t="s">
        <v>729</v>
      </c>
      <c r="G38" s="7" t="s">
        <v>768</v>
      </c>
      <c r="H38" s="7" t="s">
        <v>890</v>
      </c>
      <c r="I38" s="7" t="s">
        <v>801</v>
      </c>
      <c r="J38" s="7">
        <f t="shared" si="0"/>
        <v>8</v>
      </c>
      <c r="K38" s="9">
        <f t="shared" si="1"/>
        <v>80000</v>
      </c>
      <c r="L38" s="7">
        <v>2</v>
      </c>
      <c r="M38" s="9">
        <f t="shared" si="2"/>
        <v>160000</v>
      </c>
      <c r="N38" s="9">
        <f t="shared" si="3"/>
        <v>96000</v>
      </c>
      <c r="O38" s="7" t="s">
        <v>1006</v>
      </c>
      <c r="P38" s="10">
        <f t="shared" si="4"/>
        <v>0.12</v>
      </c>
      <c r="Q38" s="9">
        <f t="shared" si="5"/>
        <v>19200</v>
      </c>
      <c r="R38" s="9">
        <f t="shared" si="6"/>
        <v>140800</v>
      </c>
      <c r="S38" s="9" t="str">
        <f t="shared" si="7"/>
        <v>Profit</v>
      </c>
      <c r="T38" s="7" t="str">
        <f t="shared" si="8"/>
        <v>Apr</v>
      </c>
      <c r="U38" s="7">
        <f t="shared" si="9"/>
        <v>2025</v>
      </c>
      <c r="V38" s="7" t="str">
        <f t="shared" si="10"/>
        <v>25-30</v>
      </c>
    </row>
    <row r="39" spans="1:22" x14ac:dyDescent="0.3">
      <c r="A39" s="7" t="s">
        <v>56</v>
      </c>
      <c r="B39" s="8" t="s">
        <v>1060</v>
      </c>
      <c r="C39" s="8">
        <v>28</v>
      </c>
      <c r="D39" s="8" t="s">
        <v>720</v>
      </c>
      <c r="E39" s="8" t="s">
        <v>723</v>
      </c>
      <c r="F39" s="7" t="s">
        <v>1730</v>
      </c>
      <c r="G39" s="7" t="s">
        <v>769</v>
      </c>
      <c r="H39" s="7" t="s">
        <v>856</v>
      </c>
      <c r="I39" s="7" t="s">
        <v>762</v>
      </c>
      <c r="J39" s="7">
        <f t="shared" si="0"/>
        <v>7</v>
      </c>
      <c r="K39" s="9">
        <f t="shared" si="1"/>
        <v>70000</v>
      </c>
      <c r="L39" s="7">
        <v>1</v>
      </c>
      <c r="M39" s="9">
        <f t="shared" si="2"/>
        <v>70000</v>
      </c>
      <c r="N39" s="9">
        <f t="shared" si="3"/>
        <v>42000</v>
      </c>
      <c r="O39" s="7" t="s">
        <v>1007</v>
      </c>
      <c r="P39" s="10">
        <f t="shared" si="4"/>
        <v>0</v>
      </c>
      <c r="Q39" s="9">
        <f t="shared" si="5"/>
        <v>0</v>
      </c>
      <c r="R39" s="9">
        <f t="shared" si="6"/>
        <v>5000</v>
      </c>
      <c r="S39" s="9" t="str">
        <f t="shared" si="7"/>
        <v>Loss</v>
      </c>
      <c r="T39" s="7" t="str">
        <f t="shared" si="8"/>
        <v>Feb</v>
      </c>
      <c r="U39" s="7">
        <f t="shared" si="9"/>
        <v>2025</v>
      </c>
      <c r="V39" s="7" t="str">
        <f t="shared" si="10"/>
        <v>25-30</v>
      </c>
    </row>
    <row r="40" spans="1:22" x14ac:dyDescent="0.3">
      <c r="A40" s="7" t="s">
        <v>57</v>
      </c>
      <c r="B40" s="8" t="s">
        <v>1061</v>
      </c>
      <c r="C40" s="8">
        <v>39</v>
      </c>
      <c r="D40" s="8" t="s">
        <v>721</v>
      </c>
      <c r="E40" s="8" t="s">
        <v>724</v>
      </c>
      <c r="F40" s="7" t="s">
        <v>735</v>
      </c>
      <c r="G40" s="7" t="s">
        <v>770</v>
      </c>
      <c r="H40" s="7" t="s">
        <v>934</v>
      </c>
      <c r="I40" s="7" t="s">
        <v>831</v>
      </c>
      <c r="J40" s="7">
        <f t="shared" si="0"/>
        <v>10</v>
      </c>
      <c r="K40" s="9">
        <f t="shared" si="1"/>
        <v>120000</v>
      </c>
      <c r="L40" s="7">
        <v>3</v>
      </c>
      <c r="M40" s="9">
        <f t="shared" si="2"/>
        <v>360000</v>
      </c>
      <c r="N40" s="9">
        <f t="shared" si="3"/>
        <v>234000</v>
      </c>
      <c r="O40" s="7" t="s">
        <v>1007</v>
      </c>
      <c r="P40" s="10">
        <f t="shared" si="4"/>
        <v>0</v>
      </c>
      <c r="Q40" s="9">
        <f t="shared" si="5"/>
        <v>0</v>
      </c>
      <c r="R40" s="9">
        <f t="shared" si="6"/>
        <v>5000</v>
      </c>
      <c r="S40" s="9" t="str">
        <f t="shared" si="7"/>
        <v>Loss</v>
      </c>
      <c r="T40" s="7" t="str">
        <f t="shared" si="8"/>
        <v>Jan</v>
      </c>
      <c r="U40" s="7">
        <f t="shared" si="9"/>
        <v>2025</v>
      </c>
      <c r="V40" s="7" t="str">
        <f t="shared" si="10"/>
        <v>35-40</v>
      </c>
    </row>
    <row r="41" spans="1:22" x14ac:dyDescent="0.3">
      <c r="A41" s="7" t="s">
        <v>58</v>
      </c>
      <c r="B41" s="8" t="s">
        <v>1062</v>
      </c>
      <c r="C41" s="8">
        <v>55</v>
      </c>
      <c r="D41" s="8" t="s">
        <v>721</v>
      </c>
      <c r="E41" s="8" t="s">
        <v>723</v>
      </c>
      <c r="F41" s="7" t="s">
        <v>728</v>
      </c>
      <c r="G41" s="7" t="s">
        <v>771</v>
      </c>
      <c r="H41" s="7" t="s">
        <v>921</v>
      </c>
      <c r="I41" s="7" t="s">
        <v>886</v>
      </c>
      <c r="J41" s="7">
        <f t="shared" si="0"/>
        <v>7</v>
      </c>
      <c r="K41" s="9">
        <f t="shared" si="1"/>
        <v>70000</v>
      </c>
      <c r="L41" s="7">
        <v>2</v>
      </c>
      <c r="M41" s="9">
        <f t="shared" si="2"/>
        <v>140000</v>
      </c>
      <c r="N41" s="9">
        <f t="shared" si="3"/>
        <v>84000</v>
      </c>
      <c r="O41" s="7" t="s">
        <v>1006</v>
      </c>
      <c r="P41" s="10">
        <f t="shared" si="4"/>
        <v>7.0000000000000007E-2</v>
      </c>
      <c r="Q41" s="9">
        <f t="shared" si="5"/>
        <v>9800.0000000000018</v>
      </c>
      <c r="R41" s="9">
        <f t="shared" si="6"/>
        <v>130200</v>
      </c>
      <c r="S41" s="9" t="str">
        <f t="shared" si="7"/>
        <v>Profit</v>
      </c>
      <c r="T41" s="7" t="str">
        <f t="shared" si="8"/>
        <v>Mar</v>
      </c>
      <c r="U41" s="7">
        <f t="shared" si="9"/>
        <v>2025</v>
      </c>
      <c r="V41" s="7" t="str">
        <f t="shared" si="10"/>
        <v>55-60</v>
      </c>
    </row>
    <row r="42" spans="1:22" x14ac:dyDescent="0.3">
      <c r="A42" s="7" t="s">
        <v>59</v>
      </c>
      <c r="B42" s="8" t="s">
        <v>1063</v>
      </c>
      <c r="C42" s="8">
        <v>45</v>
      </c>
      <c r="D42" s="8" t="s">
        <v>720</v>
      </c>
      <c r="E42" s="8" t="s">
        <v>724</v>
      </c>
      <c r="F42" s="7" t="s">
        <v>1735</v>
      </c>
      <c r="G42" s="7" t="s">
        <v>772</v>
      </c>
      <c r="H42" s="7" t="s">
        <v>965</v>
      </c>
      <c r="I42" s="7" t="s">
        <v>999</v>
      </c>
      <c r="J42" s="7">
        <f t="shared" si="0"/>
        <v>10</v>
      </c>
      <c r="K42" s="9">
        <f t="shared" si="1"/>
        <v>120000</v>
      </c>
      <c r="L42" s="7">
        <v>4</v>
      </c>
      <c r="M42" s="9">
        <f t="shared" si="2"/>
        <v>480000</v>
      </c>
      <c r="N42" s="9">
        <f t="shared" si="3"/>
        <v>312000</v>
      </c>
      <c r="O42" s="7" t="s">
        <v>1006</v>
      </c>
      <c r="P42" s="10">
        <f t="shared" si="4"/>
        <v>0.15</v>
      </c>
      <c r="Q42" s="9">
        <f t="shared" si="5"/>
        <v>72000</v>
      </c>
      <c r="R42" s="9">
        <f t="shared" si="6"/>
        <v>408000</v>
      </c>
      <c r="S42" s="9" t="str">
        <f t="shared" si="7"/>
        <v>Profit</v>
      </c>
      <c r="T42" s="7" t="str">
        <f t="shared" si="8"/>
        <v>Aug</v>
      </c>
      <c r="U42" s="7">
        <f t="shared" si="9"/>
        <v>2025</v>
      </c>
      <c r="V42" s="7" t="str">
        <f t="shared" si="10"/>
        <v>45-50</v>
      </c>
    </row>
    <row r="43" spans="1:22" x14ac:dyDescent="0.3">
      <c r="A43" s="7" t="s">
        <v>60</v>
      </c>
      <c r="B43" s="8" t="s">
        <v>1064</v>
      </c>
      <c r="C43" s="8">
        <v>28</v>
      </c>
      <c r="D43" s="8" t="s">
        <v>721</v>
      </c>
      <c r="E43" s="8" t="s">
        <v>725</v>
      </c>
      <c r="F43" s="7" t="s">
        <v>734</v>
      </c>
      <c r="G43" s="7" t="s">
        <v>773</v>
      </c>
      <c r="H43" s="7" t="s">
        <v>915</v>
      </c>
      <c r="I43" s="7" t="s">
        <v>892</v>
      </c>
      <c r="J43" s="7">
        <f t="shared" si="0"/>
        <v>8</v>
      </c>
      <c r="K43" s="9">
        <f t="shared" si="1"/>
        <v>80000</v>
      </c>
      <c r="L43" s="7">
        <v>2</v>
      </c>
      <c r="M43" s="9">
        <f t="shared" si="2"/>
        <v>160000</v>
      </c>
      <c r="N43" s="9">
        <f t="shared" si="3"/>
        <v>96000</v>
      </c>
      <c r="O43" s="7" t="s">
        <v>1007</v>
      </c>
      <c r="P43" s="10">
        <f t="shared" si="4"/>
        <v>0</v>
      </c>
      <c r="Q43" s="9">
        <f t="shared" si="5"/>
        <v>0</v>
      </c>
      <c r="R43" s="9">
        <f t="shared" si="6"/>
        <v>5000</v>
      </c>
      <c r="S43" s="9" t="str">
        <f t="shared" si="7"/>
        <v>Loss</v>
      </c>
      <c r="T43" s="7" t="str">
        <f t="shared" si="8"/>
        <v>Feb</v>
      </c>
      <c r="U43" s="7">
        <f t="shared" si="9"/>
        <v>2025</v>
      </c>
      <c r="V43" s="7" t="str">
        <f t="shared" si="10"/>
        <v>25-30</v>
      </c>
    </row>
    <row r="44" spans="1:22" x14ac:dyDescent="0.3">
      <c r="A44" s="7" t="s">
        <v>61</v>
      </c>
      <c r="B44" s="8" t="s">
        <v>1065</v>
      </c>
      <c r="C44" s="8">
        <v>60</v>
      </c>
      <c r="D44" s="8" t="s">
        <v>720</v>
      </c>
      <c r="E44" s="8" t="s">
        <v>723</v>
      </c>
      <c r="F44" s="7" t="s">
        <v>735</v>
      </c>
      <c r="G44" s="7" t="s">
        <v>746</v>
      </c>
      <c r="H44" s="7" t="s">
        <v>911</v>
      </c>
      <c r="I44" s="7" t="s">
        <v>824</v>
      </c>
      <c r="J44" s="7">
        <f t="shared" si="0"/>
        <v>7</v>
      </c>
      <c r="K44" s="9">
        <f t="shared" si="1"/>
        <v>70000</v>
      </c>
      <c r="L44" s="7">
        <v>1</v>
      </c>
      <c r="M44" s="9">
        <f t="shared" si="2"/>
        <v>70000</v>
      </c>
      <c r="N44" s="9">
        <f t="shared" si="3"/>
        <v>42000</v>
      </c>
      <c r="O44" s="7" t="s">
        <v>1006</v>
      </c>
      <c r="P44" s="10">
        <f t="shared" si="4"/>
        <v>7.0000000000000007E-2</v>
      </c>
      <c r="Q44" s="9">
        <f t="shared" si="5"/>
        <v>4900.0000000000009</v>
      </c>
      <c r="R44" s="9">
        <f t="shared" si="6"/>
        <v>65100</v>
      </c>
      <c r="S44" s="9" t="str">
        <f t="shared" si="7"/>
        <v>Profit</v>
      </c>
      <c r="T44" s="7" t="str">
        <f t="shared" si="8"/>
        <v>May</v>
      </c>
      <c r="U44" s="7">
        <f t="shared" si="9"/>
        <v>2025</v>
      </c>
      <c r="V44" s="7" t="str">
        <f t="shared" si="10"/>
        <v>60-65</v>
      </c>
    </row>
    <row r="45" spans="1:22" x14ac:dyDescent="0.3">
      <c r="A45" s="7" t="s">
        <v>62</v>
      </c>
      <c r="B45" s="8" t="s">
        <v>1066</v>
      </c>
      <c r="C45" s="8">
        <v>29</v>
      </c>
      <c r="D45" s="8" t="s">
        <v>720</v>
      </c>
      <c r="E45" s="8" t="s">
        <v>724</v>
      </c>
      <c r="F45" s="7" t="s">
        <v>735</v>
      </c>
      <c r="G45" s="7" t="s">
        <v>774</v>
      </c>
      <c r="H45" s="7" t="s">
        <v>966</v>
      </c>
      <c r="I45" s="7" t="s">
        <v>988</v>
      </c>
      <c r="J45" s="7">
        <f t="shared" si="0"/>
        <v>10</v>
      </c>
      <c r="K45" s="9">
        <f t="shared" si="1"/>
        <v>120000</v>
      </c>
      <c r="L45" s="7">
        <v>2</v>
      </c>
      <c r="M45" s="9">
        <f t="shared" si="2"/>
        <v>240000</v>
      </c>
      <c r="N45" s="9">
        <f t="shared" si="3"/>
        <v>156000</v>
      </c>
      <c r="O45" s="7" t="s">
        <v>1006</v>
      </c>
      <c r="P45" s="10">
        <f t="shared" si="4"/>
        <v>0.15</v>
      </c>
      <c r="Q45" s="9">
        <f t="shared" si="5"/>
        <v>36000</v>
      </c>
      <c r="R45" s="9">
        <f t="shared" si="6"/>
        <v>204000</v>
      </c>
      <c r="S45" s="9" t="str">
        <f t="shared" si="7"/>
        <v>Profit</v>
      </c>
      <c r="T45" s="7" t="str">
        <f t="shared" si="8"/>
        <v>Aug</v>
      </c>
      <c r="U45" s="7">
        <f t="shared" si="9"/>
        <v>2025</v>
      </c>
      <c r="V45" s="7" t="str">
        <f t="shared" si="10"/>
        <v>25-30</v>
      </c>
    </row>
    <row r="46" spans="1:22" x14ac:dyDescent="0.3">
      <c r="A46" s="7" t="s">
        <v>63</v>
      </c>
      <c r="B46" s="8" t="s">
        <v>1067</v>
      </c>
      <c r="C46" s="8">
        <v>28</v>
      </c>
      <c r="D46" s="8" t="s">
        <v>721</v>
      </c>
      <c r="E46" s="8" t="s">
        <v>724</v>
      </c>
      <c r="F46" s="7" t="s">
        <v>1735</v>
      </c>
      <c r="G46" s="7" t="s">
        <v>775</v>
      </c>
      <c r="H46" s="7" t="s">
        <v>745</v>
      </c>
      <c r="I46" s="7" t="s">
        <v>800</v>
      </c>
      <c r="J46" s="7">
        <f t="shared" si="0"/>
        <v>10</v>
      </c>
      <c r="K46" s="9">
        <f t="shared" si="1"/>
        <v>120000</v>
      </c>
      <c r="L46" s="7">
        <v>1</v>
      </c>
      <c r="M46" s="9">
        <f t="shared" si="2"/>
        <v>120000</v>
      </c>
      <c r="N46" s="9">
        <f t="shared" si="3"/>
        <v>78000</v>
      </c>
      <c r="O46" s="7" t="s">
        <v>1006</v>
      </c>
      <c r="P46" s="10">
        <f t="shared" si="4"/>
        <v>0.15</v>
      </c>
      <c r="Q46" s="9">
        <f t="shared" si="5"/>
        <v>18000</v>
      </c>
      <c r="R46" s="9">
        <f t="shared" si="6"/>
        <v>102000</v>
      </c>
      <c r="S46" s="9" t="str">
        <f t="shared" si="7"/>
        <v>Profit</v>
      </c>
      <c r="T46" s="7" t="str">
        <f t="shared" si="8"/>
        <v>May</v>
      </c>
      <c r="U46" s="7">
        <f t="shared" si="9"/>
        <v>2025</v>
      </c>
      <c r="V46" s="7" t="str">
        <f t="shared" si="10"/>
        <v>25-30</v>
      </c>
    </row>
    <row r="47" spans="1:22" x14ac:dyDescent="0.3">
      <c r="A47" s="7" t="s">
        <v>64</v>
      </c>
      <c r="B47" s="8" t="s">
        <v>1068</v>
      </c>
      <c r="C47" s="8">
        <v>40</v>
      </c>
      <c r="D47" s="8" t="s">
        <v>721</v>
      </c>
      <c r="E47" s="8" t="s">
        <v>724</v>
      </c>
      <c r="F47" s="7" t="s">
        <v>1736</v>
      </c>
      <c r="G47" s="7" t="s">
        <v>776</v>
      </c>
      <c r="H47" s="7" t="s">
        <v>747</v>
      </c>
      <c r="I47" s="7" t="s">
        <v>786</v>
      </c>
      <c r="J47" s="7">
        <f t="shared" si="0"/>
        <v>10</v>
      </c>
      <c r="K47" s="9">
        <f t="shared" si="1"/>
        <v>120000</v>
      </c>
      <c r="L47" s="7">
        <v>2</v>
      </c>
      <c r="M47" s="9">
        <f t="shared" si="2"/>
        <v>240000</v>
      </c>
      <c r="N47" s="9">
        <f t="shared" si="3"/>
        <v>156000</v>
      </c>
      <c r="O47" s="7" t="s">
        <v>1006</v>
      </c>
      <c r="P47" s="10">
        <f t="shared" si="4"/>
        <v>0.15</v>
      </c>
      <c r="Q47" s="9">
        <f t="shared" si="5"/>
        <v>36000</v>
      </c>
      <c r="R47" s="9">
        <f t="shared" si="6"/>
        <v>204000</v>
      </c>
      <c r="S47" s="9" t="str">
        <f t="shared" si="7"/>
        <v>Profit</v>
      </c>
      <c r="T47" s="7" t="str">
        <f t="shared" si="8"/>
        <v>May</v>
      </c>
      <c r="U47" s="7">
        <f t="shared" si="9"/>
        <v>2025</v>
      </c>
      <c r="V47" s="7" t="str">
        <f t="shared" si="10"/>
        <v>40-45</v>
      </c>
    </row>
    <row r="48" spans="1:22" x14ac:dyDescent="0.3">
      <c r="A48" s="7" t="s">
        <v>65</v>
      </c>
      <c r="B48" s="8" t="s">
        <v>1069</v>
      </c>
      <c r="C48" s="8">
        <v>32</v>
      </c>
      <c r="D48" s="8" t="s">
        <v>721</v>
      </c>
      <c r="E48" s="8" t="s">
        <v>725</v>
      </c>
      <c r="F48" s="7" t="s">
        <v>728</v>
      </c>
      <c r="G48" s="7" t="s">
        <v>777</v>
      </c>
      <c r="H48" s="7" t="s">
        <v>954</v>
      </c>
      <c r="I48" s="7" t="s">
        <v>931</v>
      </c>
      <c r="J48" s="7">
        <f t="shared" si="0"/>
        <v>8</v>
      </c>
      <c r="K48" s="9">
        <f t="shared" si="1"/>
        <v>80000</v>
      </c>
      <c r="L48" s="7">
        <v>2</v>
      </c>
      <c r="M48" s="9">
        <f t="shared" si="2"/>
        <v>160000</v>
      </c>
      <c r="N48" s="9">
        <f t="shared" si="3"/>
        <v>96000</v>
      </c>
      <c r="O48" s="7" t="s">
        <v>1006</v>
      </c>
      <c r="P48" s="10">
        <f t="shared" si="4"/>
        <v>0.12</v>
      </c>
      <c r="Q48" s="9">
        <f t="shared" si="5"/>
        <v>19200</v>
      </c>
      <c r="R48" s="9">
        <f t="shared" si="6"/>
        <v>140800</v>
      </c>
      <c r="S48" s="9" t="str">
        <f t="shared" si="7"/>
        <v>Profit</v>
      </c>
      <c r="T48" s="7" t="str">
        <f t="shared" si="8"/>
        <v>Jul</v>
      </c>
      <c r="U48" s="7">
        <f t="shared" si="9"/>
        <v>2025</v>
      </c>
      <c r="V48" s="7" t="str">
        <f t="shared" si="10"/>
        <v>30-35</v>
      </c>
    </row>
    <row r="49" spans="1:22" x14ac:dyDescent="0.3">
      <c r="A49" s="7" t="s">
        <v>66</v>
      </c>
      <c r="B49" s="8" t="s">
        <v>1070</v>
      </c>
      <c r="C49" s="8">
        <v>24</v>
      </c>
      <c r="D49" s="8" t="s">
        <v>721</v>
      </c>
      <c r="E49" s="8" t="s">
        <v>722</v>
      </c>
      <c r="F49" s="7" t="s">
        <v>733</v>
      </c>
      <c r="G49" s="7" t="s">
        <v>778</v>
      </c>
      <c r="H49" s="7" t="s">
        <v>779</v>
      </c>
      <c r="I49" s="7" t="s">
        <v>801</v>
      </c>
      <c r="J49" s="7">
        <f t="shared" si="0"/>
        <v>5</v>
      </c>
      <c r="K49" s="9">
        <f t="shared" si="1"/>
        <v>60000</v>
      </c>
      <c r="L49" s="7">
        <v>4</v>
      </c>
      <c r="M49" s="9">
        <f t="shared" si="2"/>
        <v>240000</v>
      </c>
      <c r="N49" s="9">
        <f t="shared" si="3"/>
        <v>156000</v>
      </c>
      <c r="O49" s="7" t="s">
        <v>1006</v>
      </c>
      <c r="P49" s="10">
        <f t="shared" si="4"/>
        <v>0.1</v>
      </c>
      <c r="Q49" s="9">
        <f t="shared" si="5"/>
        <v>24000</v>
      </c>
      <c r="R49" s="9">
        <f t="shared" si="6"/>
        <v>216000</v>
      </c>
      <c r="S49" s="9" t="str">
        <f t="shared" si="7"/>
        <v>Profit</v>
      </c>
      <c r="T49" s="7" t="str">
        <f t="shared" si="8"/>
        <v>Apr</v>
      </c>
      <c r="U49" s="7">
        <f t="shared" si="9"/>
        <v>2025</v>
      </c>
      <c r="V49" s="7" t="str">
        <f t="shared" si="10"/>
        <v>20-25</v>
      </c>
    </row>
    <row r="50" spans="1:22" x14ac:dyDescent="0.3">
      <c r="A50" s="7" t="s">
        <v>67</v>
      </c>
      <c r="B50" s="8" t="s">
        <v>1071</v>
      </c>
      <c r="C50" s="8">
        <v>21</v>
      </c>
      <c r="D50" s="8" t="s">
        <v>721</v>
      </c>
      <c r="E50" s="8" t="s">
        <v>723</v>
      </c>
      <c r="F50" s="7" t="s">
        <v>729</v>
      </c>
      <c r="G50" s="7" t="s">
        <v>771</v>
      </c>
      <c r="H50" s="7" t="s">
        <v>892</v>
      </c>
      <c r="I50" s="7" t="s">
        <v>852</v>
      </c>
      <c r="J50" s="7">
        <f t="shared" si="0"/>
        <v>7</v>
      </c>
      <c r="K50" s="9">
        <f t="shared" si="1"/>
        <v>70000</v>
      </c>
      <c r="L50" s="7">
        <v>1</v>
      </c>
      <c r="M50" s="9">
        <f t="shared" si="2"/>
        <v>70000</v>
      </c>
      <c r="N50" s="9">
        <f t="shared" si="3"/>
        <v>42000</v>
      </c>
      <c r="O50" s="7" t="s">
        <v>1007</v>
      </c>
      <c r="P50" s="10">
        <f t="shared" si="4"/>
        <v>0</v>
      </c>
      <c r="Q50" s="9">
        <f t="shared" si="5"/>
        <v>0</v>
      </c>
      <c r="R50" s="9">
        <f t="shared" si="6"/>
        <v>5000</v>
      </c>
      <c r="S50" s="9" t="str">
        <f t="shared" si="7"/>
        <v>Loss</v>
      </c>
      <c r="T50" s="7" t="str">
        <f t="shared" si="8"/>
        <v>Mar</v>
      </c>
      <c r="U50" s="7">
        <f t="shared" si="9"/>
        <v>2025</v>
      </c>
      <c r="V50" s="7" t="str">
        <f t="shared" si="10"/>
        <v>20-25</v>
      </c>
    </row>
    <row r="51" spans="1:22" x14ac:dyDescent="0.3">
      <c r="A51" s="7" t="s">
        <v>68</v>
      </c>
      <c r="B51" s="8" t="s">
        <v>1072</v>
      </c>
      <c r="C51" s="8">
        <v>40</v>
      </c>
      <c r="D51" s="8" t="s">
        <v>721</v>
      </c>
      <c r="E51" s="8" t="s">
        <v>722</v>
      </c>
      <c r="F51" s="7" t="s">
        <v>729</v>
      </c>
      <c r="G51" s="7" t="s">
        <v>779</v>
      </c>
      <c r="H51" s="7" t="s">
        <v>818</v>
      </c>
      <c r="I51" s="7" t="s">
        <v>800</v>
      </c>
      <c r="J51" s="7">
        <f t="shared" si="0"/>
        <v>5</v>
      </c>
      <c r="K51" s="9">
        <f t="shared" si="1"/>
        <v>60000</v>
      </c>
      <c r="L51" s="7">
        <v>3</v>
      </c>
      <c r="M51" s="9">
        <f t="shared" si="2"/>
        <v>180000</v>
      </c>
      <c r="N51" s="9">
        <f t="shared" si="3"/>
        <v>117000</v>
      </c>
      <c r="O51" s="7" t="s">
        <v>1006</v>
      </c>
      <c r="P51" s="10">
        <f t="shared" si="4"/>
        <v>0.1</v>
      </c>
      <c r="Q51" s="9">
        <f t="shared" si="5"/>
        <v>18000</v>
      </c>
      <c r="R51" s="9">
        <f t="shared" si="6"/>
        <v>162000</v>
      </c>
      <c r="S51" s="9" t="str">
        <f t="shared" si="7"/>
        <v>Profit</v>
      </c>
      <c r="T51" s="7" t="str">
        <f t="shared" si="8"/>
        <v>May</v>
      </c>
      <c r="U51" s="7">
        <f t="shared" si="9"/>
        <v>2025</v>
      </c>
      <c r="V51" s="7" t="str">
        <f t="shared" si="10"/>
        <v>40-45</v>
      </c>
    </row>
    <row r="52" spans="1:22" x14ac:dyDescent="0.3">
      <c r="A52" s="7" t="s">
        <v>69</v>
      </c>
      <c r="B52" s="8" t="s">
        <v>1073</v>
      </c>
      <c r="C52" s="8">
        <v>55</v>
      </c>
      <c r="D52" s="8" t="s">
        <v>720</v>
      </c>
      <c r="E52" s="8" t="s">
        <v>726</v>
      </c>
      <c r="F52" s="7" t="s">
        <v>1727</v>
      </c>
      <c r="G52" s="7" t="s">
        <v>780</v>
      </c>
      <c r="H52" s="7" t="s">
        <v>919</v>
      </c>
      <c r="I52" s="7" t="s">
        <v>941</v>
      </c>
      <c r="J52" s="7">
        <f t="shared" si="0"/>
        <v>4</v>
      </c>
      <c r="K52" s="9">
        <f t="shared" si="1"/>
        <v>18000</v>
      </c>
      <c r="L52" s="7">
        <v>2</v>
      </c>
      <c r="M52" s="9">
        <f t="shared" si="2"/>
        <v>36000</v>
      </c>
      <c r="N52" s="9">
        <f t="shared" si="3"/>
        <v>18000</v>
      </c>
      <c r="O52" s="7" t="s">
        <v>1007</v>
      </c>
      <c r="P52" s="10">
        <f t="shared" si="4"/>
        <v>0</v>
      </c>
      <c r="Q52" s="9">
        <f t="shared" si="5"/>
        <v>0</v>
      </c>
      <c r="R52" s="9">
        <f t="shared" si="6"/>
        <v>5000</v>
      </c>
      <c r="S52" s="9" t="str">
        <f t="shared" si="7"/>
        <v>Loss</v>
      </c>
      <c r="T52" s="7" t="str">
        <f t="shared" si="8"/>
        <v>Jul</v>
      </c>
      <c r="U52" s="7">
        <f t="shared" si="9"/>
        <v>2025</v>
      </c>
      <c r="V52" s="7" t="str">
        <f t="shared" si="10"/>
        <v>55-60</v>
      </c>
    </row>
    <row r="53" spans="1:22" x14ac:dyDescent="0.3">
      <c r="A53" s="7" t="s">
        <v>70</v>
      </c>
      <c r="B53" s="8" t="s">
        <v>1074</v>
      </c>
      <c r="C53" s="8">
        <v>41</v>
      </c>
      <c r="D53" s="8" t="s">
        <v>720</v>
      </c>
      <c r="E53" s="8" t="s">
        <v>723</v>
      </c>
      <c r="F53" s="7" t="s">
        <v>734</v>
      </c>
      <c r="G53" s="7" t="s">
        <v>781</v>
      </c>
      <c r="H53" s="7" t="s">
        <v>874</v>
      </c>
      <c r="I53" s="7" t="s">
        <v>878</v>
      </c>
      <c r="J53" s="7">
        <f t="shared" si="0"/>
        <v>7</v>
      </c>
      <c r="K53" s="9">
        <f t="shared" si="1"/>
        <v>70000</v>
      </c>
      <c r="L53" s="7">
        <v>1</v>
      </c>
      <c r="M53" s="9">
        <f t="shared" si="2"/>
        <v>70000</v>
      </c>
      <c r="N53" s="9">
        <f t="shared" si="3"/>
        <v>42000</v>
      </c>
      <c r="O53" s="7" t="s">
        <v>1006</v>
      </c>
      <c r="P53" s="10">
        <f t="shared" si="4"/>
        <v>7.0000000000000007E-2</v>
      </c>
      <c r="Q53" s="9">
        <f t="shared" si="5"/>
        <v>4900.0000000000009</v>
      </c>
      <c r="R53" s="9">
        <f t="shared" si="6"/>
        <v>65100</v>
      </c>
      <c r="S53" s="9" t="str">
        <f t="shared" si="7"/>
        <v>Profit</v>
      </c>
      <c r="T53" s="7" t="str">
        <f t="shared" si="8"/>
        <v>Feb</v>
      </c>
      <c r="U53" s="7">
        <f t="shared" si="9"/>
        <v>2025</v>
      </c>
      <c r="V53" s="7" t="str">
        <f t="shared" si="10"/>
        <v>40-45</v>
      </c>
    </row>
    <row r="54" spans="1:22" x14ac:dyDescent="0.3">
      <c r="A54" s="7" t="s">
        <v>71</v>
      </c>
      <c r="B54" s="8" t="s">
        <v>1075</v>
      </c>
      <c r="C54" s="8">
        <v>18</v>
      </c>
      <c r="D54" s="8" t="s">
        <v>721</v>
      </c>
      <c r="E54" s="8" t="s">
        <v>726</v>
      </c>
      <c r="F54" s="7" t="s">
        <v>732</v>
      </c>
      <c r="G54" s="7" t="s">
        <v>782</v>
      </c>
      <c r="H54" s="7" t="s">
        <v>738</v>
      </c>
      <c r="I54" s="7" t="s">
        <v>750</v>
      </c>
      <c r="J54" s="7">
        <f t="shared" si="0"/>
        <v>4</v>
      </c>
      <c r="K54" s="9">
        <f t="shared" si="1"/>
        <v>18000</v>
      </c>
      <c r="L54" s="7">
        <v>2</v>
      </c>
      <c r="M54" s="9">
        <f t="shared" si="2"/>
        <v>36000</v>
      </c>
      <c r="N54" s="9">
        <f t="shared" si="3"/>
        <v>18000</v>
      </c>
      <c r="O54" s="7" t="s">
        <v>1007</v>
      </c>
      <c r="P54" s="10">
        <f t="shared" si="4"/>
        <v>0</v>
      </c>
      <c r="Q54" s="9">
        <f t="shared" si="5"/>
        <v>0</v>
      </c>
      <c r="R54" s="9">
        <f t="shared" si="6"/>
        <v>5000</v>
      </c>
      <c r="S54" s="9" t="str">
        <f t="shared" si="7"/>
        <v>Loss</v>
      </c>
      <c r="T54" s="7" t="str">
        <f t="shared" si="8"/>
        <v>May</v>
      </c>
      <c r="U54" s="7">
        <f t="shared" si="9"/>
        <v>2025</v>
      </c>
      <c r="V54" s="7" t="str">
        <f t="shared" si="10"/>
        <v>15-20</v>
      </c>
    </row>
    <row r="55" spans="1:22" x14ac:dyDescent="0.3">
      <c r="A55" s="7" t="s">
        <v>72</v>
      </c>
      <c r="B55" s="8" t="s">
        <v>1076</v>
      </c>
      <c r="C55" s="8">
        <v>27</v>
      </c>
      <c r="D55" s="8" t="s">
        <v>721</v>
      </c>
      <c r="E55" s="8" t="s">
        <v>724</v>
      </c>
      <c r="F55" s="7" t="s">
        <v>1735</v>
      </c>
      <c r="G55" s="7" t="s">
        <v>761</v>
      </c>
      <c r="H55" s="7" t="s">
        <v>831</v>
      </c>
      <c r="I55" s="7" t="s">
        <v>861</v>
      </c>
      <c r="J55" s="7">
        <f t="shared" si="0"/>
        <v>10</v>
      </c>
      <c r="K55" s="9">
        <f t="shared" si="1"/>
        <v>120000</v>
      </c>
      <c r="L55" s="7">
        <v>1</v>
      </c>
      <c r="M55" s="9">
        <f t="shared" si="2"/>
        <v>120000</v>
      </c>
      <c r="N55" s="9">
        <f t="shared" si="3"/>
        <v>78000</v>
      </c>
      <c r="O55" s="7" t="s">
        <v>1007</v>
      </c>
      <c r="P55" s="10">
        <f t="shared" si="4"/>
        <v>0</v>
      </c>
      <c r="Q55" s="9">
        <f t="shared" si="5"/>
        <v>0</v>
      </c>
      <c r="R55" s="9">
        <f t="shared" si="6"/>
        <v>5000</v>
      </c>
      <c r="S55" s="9" t="str">
        <f t="shared" si="7"/>
        <v>Loss</v>
      </c>
      <c r="T55" s="7" t="str">
        <f t="shared" si="8"/>
        <v>Jan</v>
      </c>
      <c r="U55" s="7">
        <f t="shared" si="9"/>
        <v>2025</v>
      </c>
      <c r="V55" s="7" t="str">
        <f t="shared" si="10"/>
        <v>25-30</v>
      </c>
    </row>
    <row r="56" spans="1:22" x14ac:dyDescent="0.3">
      <c r="A56" s="7" t="s">
        <v>73</v>
      </c>
      <c r="B56" s="8" t="s">
        <v>1077</v>
      </c>
      <c r="C56" s="8">
        <v>26</v>
      </c>
      <c r="D56" s="8" t="s">
        <v>721</v>
      </c>
      <c r="E56" s="8" t="s">
        <v>725</v>
      </c>
      <c r="F56" s="7" t="s">
        <v>733</v>
      </c>
      <c r="G56" s="7" t="s">
        <v>772</v>
      </c>
      <c r="H56" s="7" t="s">
        <v>967</v>
      </c>
      <c r="I56" s="7" t="s">
        <v>981</v>
      </c>
      <c r="J56" s="7">
        <f t="shared" si="0"/>
        <v>8</v>
      </c>
      <c r="K56" s="9">
        <f t="shared" si="1"/>
        <v>80000</v>
      </c>
      <c r="L56" s="7">
        <v>2</v>
      </c>
      <c r="M56" s="9">
        <f t="shared" si="2"/>
        <v>160000</v>
      </c>
      <c r="N56" s="9">
        <f t="shared" si="3"/>
        <v>96000</v>
      </c>
      <c r="O56" s="7" t="s">
        <v>1006</v>
      </c>
      <c r="P56" s="10">
        <f t="shared" si="4"/>
        <v>0.12</v>
      </c>
      <c r="Q56" s="9">
        <f t="shared" si="5"/>
        <v>19200</v>
      </c>
      <c r="R56" s="9">
        <f t="shared" si="6"/>
        <v>140800</v>
      </c>
      <c r="S56" s="9" t="str">
        <f t="shared" si="7"/>
        <v>Profit</v>
      </c>
      <c r="T56" s="7" t="str">
        <f t="shared" si="8"/>
        <v>Aug</v>
      </c>
      <c r="U56" s="7">
        <f t="shared" si="9"/>
        <v>2025</v>
      </c>
      <c r="V56" s="7" t="str">
        <f t="shared" si="10"/>
        <v>25-30</v>
      </c>
    </row>
    <row r="57" spans="1:22" x14ac:dyDescent="0.3">
      <c r="A57" s="7" t="s">
        <v>74</v>
      </c>
      <c r="B57" s="8" t="s">
        <v>1078</v>
      </c>
      <c r="C57" s="8">
        <v>40</v>
      </c>
      <c r="D57" s="8" t="s">
        <v>720</v>
      </c>
      <c r="E57" s="8" t="s">
        <v>723</v>
      </c>
      <c r="F57" s="7" t="s">
        <v>732</v>
      </c>
      <c r="G57" s="7" t="s">
        <v>783</v>
      </c>
      <c r="H57" s="7" t="s">
        <v>796</v>
      </c>
      <c r="I57" s="7" t="s">
        <v>914</v>
      </c>
      <c r="J57" s="7">
        <f t="shared" si="0"/>
        <v>7</v>
      </c>
      <c r="K57" s="9">
        <f t="shared" si="1"/>
        <v>70000</v>
      </c>
      <c r="L57" s="7">
        <v>3</v>
      </c>
      <c r="M57" s="9">
        <f t="shared" si="2"/>
        <v>210000</v>
      </c>
      <c r="N57" s="9">
        <f t="shared" si="3"/>
        <v>126000</v>
      </c>
      <c r="O57" s="7" t="s">
        <v>1006</v>
      </c>
      <c r="P57" s="10">
        <f t="shared" si="4"/>
        <v>7.0000000000000007E-2</v>
      </c>
      <c r="Q57" s="9">
        <f t="shared" si="5"/>
        <v>14700.000000000002</v>
      </c>
      <c r="R57" s="9">
        <f t="shared" si="6"/>
        <v>195300</v>
      </c>
      <c r="S57" s="9" t="str">
        <f t="shared" si="7"/>
        <v>Profit</v>
      </c>
      <c r="T57" s="7" t="str">
        <f t="shared" si="8"/>
        <v>Jun</v>
      </c>
      <c r="U57" s="7">
        <f t="shared" si="9"/>
        <v>2025</v>
      </c>
      <c r="V57" s="7" t="str">
        <f t="shared" si="10"/>
        <v>40-45</v>
      </c>
    </row>
    <row r="58" spans="1:22" x14ac:dyDescent="0.3">
      <c r="A58" s="7" t="s">
        <v>75</v>
      </c>
      <c r="B58" s="8" t="s">
        <v>1079</v>
      </c>
      <c r="C58" s="8">
        <v>31</v>
      </c>
      <c r="D58" s="8" t="s">
        <v>720</v>
      </c>
      <c r="E58" s="8" t="s">
        <v>725</v>
      </c>
      <c r="F58" s="7" t="s">
        <v>727</v>
      </c>
      <c r="G58" s="7" t="s">
        <v>784</v>
      </c>
      <c r="H58" s="7" t="s">
        <v>914</v>
      </c>
      <c r="I58" s="7" t="s">
        <v>736</v>
      </c>
      <c r="J58" s="7">
        <f t="shared" si="0"/>
        <v>8</v>
      </c>
      <c r="K58" s="9">
        <f t="shared" si="1"/>
        <v>80000</v>
      </c>
      <c r="L58" s="7">
        <v>2</v>
      </c>
      <c r="M58" s="9">
        <f t="shared" si="2"/>
        <v>160000</v>
      </c>
      <c r="N58" s="9">
        <f t="shared" si="3"/>
        <v>96000</v>
      </c>
      <c r="O58" s="7" t="s">
        <v>1007</v>
      </c>
      <c r="P58" s="10">
        <f t="shared" si="4"/>
        <v>0</v>
      </c>
      <c r="Q58" s="9">
        <f t="shared" si="5"/>
        <v>0</v>
      </c>
      <c r="R58" s="9">
        <f t="shared" si="6"/>
        <v>5000</v>
      </c>
      <c r="S58" s="9" t="str">
        <f t="shared" si="7"/>
        <v>Loss</v>
      </c>
      <c r="T58" s="7" t="str">
        <f t="shared" si="8"/>
        <v>Jun</v>
      </c>
      <c r="U58" s="7">
        <f t="shared" si="9"/>
        <v>2025</v>
      </c>
      <c r="V58" s="7" t="str">
        <f t="shared" si="10"/>
        <v>30-35</v>
      </c>
    </row>
    <row r="59" spans="1:22" x14ac:dyDescent="0.3">
      <c r="A59" s="7" t="s">
        <v>76</v>
      </c>
      <c r="B59" s="8" t="s">
        <v>1080</v>
      </c>
      <c r="C59" s="8">
        <v>33</v>
      </c>
      <c r="D59" s="8" t="s">
        <v>721</v>
      </c>
      <c r="E59" s="8" t="s">
        <v>724</v>
      </c>
      <c r="F59" s="7" t="s">
        <v>733</v>
      </c>
      <c r="G59" s="7" t="s">
        <v>785</v>
      </c>
      <c r="H59" s="7" t="s">
        <v>955</v>
      </c>
      <c r="I59" s="7" t="s">
        <v>811</v>
      </c>
      <c r="J59" s="7">
        <f t="shared" si="0"/>
        <v>10</v>
      </c>
      <c r="K59" s="9">
        <f t="shared" si="1"/>
        <v>120000</v>
      </c>
      <c r="L59" s="7">
        <v>2</v>
      </c>
      <c r="M59" s="9">
        <f t="shared" si="2"/>
        <v>240000</v>
      </c>
      <c r="N59" s="9">
        <f t="shared" si="3"/>
        <v>156000</v>
      </c>
      <c r="O59" s="7" t="s">
        <v>1006</v>
      </c>
      <c r="P59" s="10">
        <f t="shared" si="4"/>
        <v>0.15</v>
      </c>
      <c r="Q59" s="9">
        <f t="shared" si="5"/>
        <v>36000</v>
      </c>
      <c r="R59" s="9">
        <f t="shared" si="6"/>
        <v>204000</v>
      </c>
      <c r="S59" s="9" t="str">
        <f t="shared" si="7"/>
        <v>Profit</v>
      </c>
      <c r="T59" s="7" t="str">
        <f t="shared" si="8"/>
        <v>Jul</v>
      </c>
      <c r="U59" s="7">
        <f t="shared" si="9"/>
        <v>2025</v>
      </c>
      <c r="V59" s="7" t="str">
        <f t="shared" si="10"/>
        <v>30-35</v>
      </c>
    </row>
    <row r="60" spans="1:22" x14ac:dyDescent="0.3">
      <c r="A60" s="7" t="s">
        <v>77</v>
      </c>
      <c r="B60" s="8" t="s">
        <v>1081</v>
      </c>
      <c r="C60" s="8">
        <v>40</v>
      </c>
      <c r="D60" s="8" t="s">
        <v>721</v>
      </c>
      <c r="E60" s="8" t="s">
        <v>726</v>
      </c>
      <c r="F60" s="7" t="s">
        <v>1731</v>
      </c>
      <c r="G60" s="7" t="s">
        <v>786</v>
      </c>
      <c r="H60" s="7" t="s">
        <v>836</v>
      </c>
      <c r="I60" s="7" t="s">
        <v>881</v>
      </c>
      <c r="J60" s="7">
        <f t="shared" si="0"/>
        <v>4</v>
      </c>
      <c r="K60" s="9">
        <f t="shared" si="1"/>
        <v>18000</v>
      </c>
      <c r="L60" s="7">
        <v>2</v>
      </c>
      <c r="M60" s="9">
        <f t="shared" si="2"/>
        <v>36000</v>
      </c>
      <c r="N60" s="9">
        <f t="shared" si="3"/>
        <v>18000</v>
      </c>
      <c r="O60" s="7" t="s">
        <v>1006</v>
      </c>
      <c r="P60" s="10">
        <f t="shared" si="4"/>
        <v>0.05</v>
      </c>
      <c r="Q60" s="9">
        <f t="shared" si="5"/>
        <v>1800</v>
      </c>
      <c r="R60" s="9">
        <f t="shared" si="6"/>
        <v>34200</v>
      </c>
      <c r="S60" s="9" t="str">
        <f t="shared" si="7"/>
        <v>Profit</v>
      </c>
      <c r="T60" s="7" t="str">
        <f t="shared" si="8"/>
        <v>Jun</v>
      </c>
      <c r="U60" s="7">
        <f t="shared" si="9"/>
        <v>2025</v>
      </c>
      <c r="V60" s="7" t="str">
        <f t="shared" si="10"/>
        <v>40-45</v>
      </c>
    </row>
    <row r="61" spans="1:22" x14ac:dyDescent="0.3">
      <c r="A61" s="7" t="s">
        <v>78</v>
      </c>
      <c r="B61" s="8" t="s">
        <v>1082</v>
      </c>
      <c r="C61" s="8">
        <v>27</v>
      </c>
      <c r="D61" s="8" t="s">
        <v>720</v>
      </c>
      <c r="E61" s="8" t="s">
        <v>726</v>
      </c>
      <c r="F61" s="7" t="s">
        <v>734</v>
      </c>
      <c r="G61" s="7" t="s">
        <v>787</v>
      </c>
      <c r="H61" s="7" t="s">
        <v>777</v>
      </c>
      <c r="I61" s="7" t="s">
        <v>865</v>
      </c>
      <c r="J61" s="7">
        <f t="shared" si="0"/>
        <v>4</v>
      </c>
      <c r="K61" s="9">
        <f t="shared" si="1"/>
        <v>18000</v>
      </c>
      <c r="L61" s="7">
        <v>3</v>
      </c>
      <c r="M61" s="9">
        <f t="shared" si="2"/>
        <v>54000</v>
      </c>
      <c r="N61" s="9">
        <f t="shared" si="3"/>
        <v>27000</v>
      </c>
      <c r="O61" s="7" t="s">
        <v>1007</v>
      </c>
      <c r="P61" s="10">
        <f t="shared" si="4"/>
        <v>0</v>
      </c>
      <c r="Q61" s="9">
        <f t="shared" si="5"/>
        <v>0</v>
      </c>
      <c r="R61" s="9">
        <f t="shared" si="6"/>
        <v>5000</v>
      </c>
      <c r="S61" s="9" t="str">
        <f t="shared" si="7"/>
        <v>Loss</v>
      </c>
      <c r="T61" s="7" t="str">
        <f t="shared" si="8"/>
        <v>Jul</v>
      </c>
      <c r="U61" s="7">
        <f t="shared" si="9"/>
        <v>2025</v>
      </c>
      <c r="V61" s="7" t="str">
        <f t="shared" si="10"/>
        <v>25-30</v>
      </c>
    </row>
    <row r="62" spans="1:22" x14ac:dyDescent="0.3">
      <c r="A62" s="7" t="s">
        <v>79</v>
      </c>
      <c r="B62" s="8" t="s">
        <v>1083</v>
      </c>
      <c r="C62" s="8">
        <v>33</v>
      </c>
      <c r="D62" s="8" t="s">
        <v>721</v>
      </c>
      <c r="E62" s="8" t="s">
        <v>722</v>
      </c>
      <c r="F62" s="7" t="s">
        <v>728</v>
      </c>
      <c r="G62" s="7" t="s">
        <v>788</v>
      </c>
      <c r="H62" s="7" t="s">
        <v>882</v>
      </c>
      <c r="I62" s="7" t="s">
        <v>798</v>
      </c>
      <c r="J62" s="7">
        <f t="shared" si="0"/>
        <v>5</v>
      </c>
      <c r="K62" s="9">
        <f t="shared" si="1"/>
        <v>60000</v>
      </c>
      <c r="L62" s="7">
        <v>3</v>
      </c>
      <c r="M62" s="9">
        <f t="shared" si="2"/>
        <v>180000</v>
      </c>
      <c r="N62" s="9">
        <f t="shared" si="3"/>
        <v>117000</v>
      </c>
      <c r="O62" s="7" t="s">
        <v>1007</v>
      </c>
      <c r="P62" s="10">
        <f t="shared" si="4"/>
        <v>0</v>
      </c>
      <c r="Q62" s="9">
        <f t="shared" si="5"/>
        <v>0</v>
      </c>
      <c r="R62" s="9">
        <f t="shared" si="6"/>
        <v>5000</v>
      </c>
      <c r="S62" s="9" t="str">
        <f t="shared" si="7"/>
        <v>Loss</v>
      </c>
      <c r="T62" s="7" t="str">
        <f t="shared" si="8"/>
        <v>Feb</v>
      </c>
      <c r="U62" s="7">
        <f t="shared" si="9"/>
        <v>2025</v>
      </c>
      <c r="V62" s="7" t="str">
        <f t="shared" si="10"/>
        <v>30-35</v>
      </c>
    </row>
    <row r="63" spans="1:22" x14ac:dyDescent="0.3">
      <c r="A63" s="7" t="s">
        <v>80</v>
      </c>
      <c r="B63" s="8" t="s">
        <v>1084</v>
      </c>
      <c r="C63" s="8">
        <v>19</v>
      </c>
      <c r="D63" s="8" t="s">
        <v>720</v>
      </c>
      <c r="E63" s="8" t="s">
        <v>726</v>
      </c>
      <c r="F63" s="7" t="s">
        <v>1726</v>
      </c>
      <c r="G63" s="7" t="s">
        <v>789</v>
      </c>
      <c r="H63" s="7" t="s">
        <v>890</v>
      </c>
      <c r="I63" s="7" t="s">
        <v>809</v>
      </c>
      <c r="J63" s="7">
        <f t="shared" si="0"/>
        <v>4</v>
      </c>
      <c r="K63" s="9">
        <f t="shared" si="1"/>
        <v>18000</v>
      </c>
      <c r="L63" s="7">
        <v>1</v>
      </c>
      <c r="M63" s="9">
        <f t="shared" si="2"/>
        <v>18000</v>
      </c>
      <c r="N63" s="9">
        <f t="shared" si="3"/>
        <v>9000</v>
      </c>
      <c r="O63" s="7" t="s">
        <v>1007</v>
      </c>
      <c r="P63" s="10">
        <f t="shared" si="4"/>
        <v>0</v>
      </c>
      <c r="Q63" s="9">
        <f t="shared" si="5"/>
        <v>0</v>
      </c>
      <c r="R63" s="9">
        <f t="shared" si="6"/>
        <v>5000</v>
      </c>
      <c r="S63" s="9" t="str">
        <f t="shared" si="7"/>
        <v>Loss</v>
      </c>
      <c r="T63" s="7" t="str">
        <f t="shared" si="8"/>
        <v>Apr</v>
      </c>
      <c r="U63" s="7">
        <f t="shared" si="9"/>
        <v>2025</v>
      </c>
      <c r="V63" s="7" t="str">
        <f t="shared" si="10"/>
        <v>15-20</v>
      </c>
    </row>
    <row r="64" spans="1:22" x14ac:dyDescent="0.3">
      <c r="A64" s="7" t="s">
        <v>81</v>
      </c>
      <c r="B64" s="8" t="s">
        <v>1085</v>
      </c>
      <c r="C64" s="8">
        <v>35</v>
      </c>
      <c r="D64" s="8" t="s">
        <v>720</v>
      </c>
      <c r="E64" s="8" t="s">
        <v>724</v>
      </c>
      <c r="F64" s="7" t="s">
        <v>1736</v>
      </c>
      <c r="G64" s="7" t="s">
        <v>783</v>
      </c>
      <c r="H64" s="7" t="s">
        <v>914</v>
      </c>
      <c r="I64" s="7" t="s">
        <v>736</v>
      </c>
      <c r="J64" s="7">
        <f t="shared" si="0"/>
        <v>10</v>
      </c>
      <c r="K64" s="9">
        <f t="shared" si="1"/>
        <v>120000</v>
      </c>
      <c r="L64" s="7">
        <v>2</v>
      </c>
      <c r="M64" s="9">
        <f t="shared" si="2"/>
        <v>240000</v>
      </c>
      <c r="N64" s="9">
        <f t="shared" si="3"/>
        <v>156000</v>
      </c>
      <c r="O64" s="7" t="s">
        <v>1006</v>
      </c>
      <c r="P64" s="10">
        <f t="shared" si="4"/>
        <v>0.15</v>
      </c>
      <c r="Q64" s="9">
        <f t="shared" si="5"/>
        <v>36000</v>
      </c>
      <c r="R64" s="9">
        <f t="shared" si="6"/>
        <v>204000</v>
      </c>
      <c r="S64" s="9" t="str">
        <f t="shared" si="7"/>
        <v>Profit</v>
      </c>
      <c r="T64" s="7" t="str">
        <f t="shared" si="8"/>
        <v>Jun</v>
      </c>
      <c r="U64" s="7">
        <f t="shared" si="9"/>
        <v>2025</v>
      </c>
      <c r="V64" s="7" t="str">
        <f t="shared" si="10"/>
        <v>35-40</v>
      </c>
    </row>
    <row r="65" spans="1:22" x14ac:dyDescent="0.3">
      <c r="A65" s="7" t="s">
        <v>82</v>
      </c>
      <c r="B65" s="8" t="s">
        <v>1086</v>
      </c>
      <c r="C65" s="8">
        <v>31</v>
      </c>
      <c r="D65" s="8" t="s">
        <v>720</v>
      </c>
      <c r="E65" s="8" t="s">
        <v>722</v>
      </c>
      <c r="F65" s="7" t="s">
        <v>732</v>
      </c>
      <c r="G65" s="7" t="s">
        <v>790</v>
      </c>
      <c r="H65" s="7" t="s">
        <v>760</v>
      </c>
      <c r="I65" s="7" t="s">
        <v>907</v>
      </c>
      <c r="J65" s="7">
        <f t="shared" si="0"/>
        <v>5</v>
      </c>
      <c r="K65" s="9">
        <f t="shared" si="1"/>
        <v>60000</v>
      </c>
      <c r="L65" s="7">
        <v>4</v>
      </c>
      <c r="M65" s="9">
        <f t="shared" si="2"/>
        <v>240000</v>
      </c>
      <c r="N65" s="9">
        <f t="shared" si="3"/>
        <v>156000</v>
      </c>
      <c r="O65" s="7" t="s">
        <v>1006</v>
      </c>
      <c r="P65" s="10">
        <f t="shared" si="4"/>
        <v>0.1</v>
      </c>
      <c r="Q65" s="9">
        <f t="shared" si="5"/>
        <v>24000</v>
      </c>
      <c r="R65" s="9">
        <f t="shared" si="6"/>
        <v>216000</v>
      </c>
      <c r="S65" s="9" t="str">
        <f t="shared" si="7"/>
        <v>Profit</v>
      </c>
      <c r="T65" s="7" t="str">
        <f t="shared" si="8"/>
        <v>Feb</v>
      </c>
      <c r="U65" s="7">
        <f t="shared" si="9"/>
        <v>2025</v>
      </c>
      <c r="V65" s="7" t="str">
        <f t="shared" si="10"/>
        <v>30-35</v>
      </c>
    </row>
    <row r="66" spans="1:22" x14ac:dyDescent="0.3">
      <c r="A66" s="7" t="s">
        <v>83</v>
      </c>
      <c r="B66" s="8" t="s">
        <v>1087</v>
      </c>
      <c r="C66" s="8">
        <v>22</v>
      </c>
      <c r="D66" s="8" t="s">
        <v>720</v>
      </c>
      <c r="E66" s="8" t="s">
        <v>724</v>
      </c>
      <c r="F66" s="7" t="s">
        <v>735</v>
      </c>
      <c r="G66" s="7" t="s">
        <v>791</v>
      </c>
      <c r="H66" s="7" t="s">
        <v>806</v>
      </c>
      <c r="I66" s="7" t="s">
        <v>863</v>
      </c>
      <c r="J66" s="7">
        <f t="shared" si="0"/>
        <v>10</v>
      </c>
      <c r="K66" s="9">
        <f t="shared" si="1"/>
        <v>120000</v>
      </c>
      <c r="L66" s="7">
        <v>3</v>
      </c>
      <c r="M66" s="9">
        <f t="shared" si="2"/>
        <v>360000</v>
      </c>
      <c r="N66" s="9">
        <f t="shared" si="3"/>
        <v>234000</v>
      </c>
      <c r="O66" s="7" t="s">
        <v>1007</v>
      </c>
      <c r="P66" s="10">
        <f t="shared" si="4"/>
        <v>0</v>
      </c>
      <c r="Q66" s="9">
        <f t="shared" si="5"/>
        <v>0</v>
      </c>
      <c r="R66" s="9">
        <f t="shared" si="6"/>
        <v>5000</v>
      </c>
      <c r="S66" s="9" t="str">
        <f t="shared" si="7"/>
        <v>Loss</v>
      </c>
      <c r="T66" s="7" t="str">
        <f t="shared" si="8"/>
        <v>Jan</v>
      </c>
      <c r="U66" s="7">
        <f t="shared" si="9"/>
        <v>2025</v>
      </c>
      <c r="V66" s="7" t="str">
        <f t="shared" si="10"/>
        <v>20-25</v>
      </c>
    </row>
    <row r="67" spans="1:22" x14ac:dyDescent="0.3">
      <c r="A67" s="7" t="s">
        <v>84</v>
      </c>
      <c r="B67" s="8" t="s">
        <v>1088</v>
      </c>
      <c r="C67" s="8">
        <v>29</v>
      </c>
      <c r="D67" s="8" t="s">
        <v>721</v>
      </c>
      <c r="E67" s="8" t="s">
        <v>725</v>
      </c>
      <c r="F67" s="7" t="s">
        <v>1730</v>
      </c>
      <c r="G67" s="7" t="s">
        <v>792</v>
      </c>
      <c r="H67" s="7" t="s">
        <v>968</v>
      </c>
      <c r="I67" s="7" t="s">
        <v>1000</v>
      </c>
      <c r="J67" s="7">
        <f t="shared" si="0"/>
        <v>8</v>
      </c>
      <c r="K67" s="9">
        <f t="shared" si="1"/>
        <v>80000</v>
      </c>
      <c r="L67" s="7">
        <v>2</v>
      </c>
      <c r="M67" s="9">
        <f t="shared" si="2"/>
        <v>160000</v>
      </c>
      <c r="N67" s="9">
        <f t="shared" si="3"/>
        <v>96000</v>
      </c>
      <c r="O67" s="7" t="s">
        <v>1007</v>
      </c>
      <c r="P67" s="10">
        <f t="shared" si="4"/>
        <v>0</v>
      </c>
      <c r="Q67" s="9">
        <f t="shared" si="5"/>
        <v>0</v>
      </c>
      <c r="R67" s="9">
        <f t="shared" si="6"/>
        <v>5000</v>
      </c>
      <c r="S67" s="9" t="str">
        <f t="shared" si="7"/>
        <v>Loss</v>
      </c>
      <c r="T67" s="7" t="str">
        <f t="shared" si="8"/>
        <v>Aug</v>
      </c>
      <c r="U67" s="7">
        <f t="shared" si="9"/>
        <v>2025</v>
      </c>
      <c r="V67" s="7" t="str">
        <f t="shared" si="10"/>
        <v>25-30</v>
      </c>
    </row>
    <row r="68" spans="1:22" x14ac:dyDescent="0.3">
      <c r="A68" s="7" t="s">
        <v>85</v>
      </c>
      <c r="B68" s="8" t="s">
        <v>1089</v>
      </c>
      <c r="C68" s="8">
        <v>42</v>
      </c>
      <c r="D68" s="8" t="s">
        <v>721</v>
      </c>
      <c r="E68" s="8" t="s">
        <v>722</v>
      </c>
      <c r="F68" s="7" t="s">
        <v>732</v>
      </c>
      <c r="G68" s="7" t="s">
        <v>750</v>
      </c>
      <c r="H68" s="7" t="s">
        <v>824</v>
      </c>
      <c r="I68" s="7" t="s">
        <v>800</v>
      </c>
      <c r="J68" s="7">
        <f t="shared" ref="J68:J131" si="11">IF(E68="Adventure",5,IF(E68="Domestic",4,IF(E68="Family",7,IF(E68="Honeymoon",8,IF(E68="International",10,"")))))</f>
        <v>5</v>
      </c>
      <c r="K68" s="9">
        <f t="shared" ref="K68:K131" si="12">IF(E68="Adventure",60000,
IF(E68="Domestic",18000,
IF(E68="Family",70000,
IF(E68="Honeymoon",80000,
IF(E68="International",120000,"")))))</f>
        <v>60000</v>
      </c>
      <c r="L68" s="7">
        <v>3</v>
      </c>
      <c r="M68" s="9">
        <f t="shared" ref="M68:M131" si="13">K68*L68</f>
        <v>180000</v>
      </c>
      <c r="N68" s="9">
        <f t="shared" ref="N68:N131" si="14">IF(E68="Adventure",M68*65%,IF(E68="Domestic",M68*50%,IF(E68="Family",M68*60%,IF(E68="Honeymoon",M68*60%,IF(E68="International",M68*65%,0)))))</f>
        <v>117000</v>
      </c>
      <c r="O68" s="7" t="s">
        <v>1006</v>
      </c>
      <c r="P68" s="10">
        <f t="shared" ref="P68:P131" si="15">IF(O68="Cancelled",0,IF(E68="Domestic",5%,IF(E68="Adventure",10%,IF(E68="Family",7%,IF(E68="Honeymoon",12%,IF(E68="International",15%,0))))))</f>
        <v>0.1</v>
      </c>
      <c r="Q68" s="9">
        <f t="shared" ref="Q68:Q131" si="16">M68*P68</f>
        <v>18000</v>
      </c>
      <c r="R68" s="9">
        <f t="shared" ref="R68:R131" si="17">IF(O68="Cancelled",5000,M68-Q68)</f>
        <v>162000</v>
      </c>
      <c r="S68" s="9" t="str">
        <f t="shared" ref="S68:S131" si="18">IF(R68-N68&gt;5000,"Profit","Loss")</f>
        <v>Profit</v>
      </c>
      <c r="T68" s="7" t="str">
        <f t="shared" ref="T68:T131" si="19">TEXT(G68,"mmm")</f>
        <v>May</v>
      </c>
      <c r="U68" s="7">
        <f t="shared" ref="U68:U131" si="20">YEAR(G68)</f>
        <v>2025</v>
      </c>
      <c r="V68" s="7" t="str">
        <f t="shared" ref="V68:V131" si="21">FLOOR(C68,5) &amp; "-" &amp; FLOOR(C68,5)+5</f>
        <v>40-45</v>
      </c>
    </row>
    <row r="69" spans="1:22" x14ac:dyDescent="0.3">
      <c r="A69" s="7" t="s">
        <v>86</v>
      </c>
      <c r="B69" s="8" t="s">
        <v>1090</v>
      </c>
      <c r="C69" s="8">
        <v>46</v>
      </c>
      <c r="D69" s="8" t="s">
        <v>721</v>
      </c>
      <c r="E69" s="8" t="s">
        <v>726</v>
      </c>
      <c r="F69" s="7" t="s">
        <v>728</v>
      </c>
      <c r="G69" s="7" t="s">
        <v>774</v>
      </c>
      <c r="H69" s="7" t="s">
        <v>841</v>
      </c>
      <c r="I69" s="7" t="s">
        <v>994</v>
      </c>
      <c r="J69" s="7">
        <f t="shared" si="11"/>
        <v>4</v>
      </c>
      <c r="K69" s="9">
        <f t="shared" si="12"/>
        <v>18000</v>
      </c>
      <c r="L69" s="7">
        <v>2</v>
      </c>
      <c r="M69" s="9">
        <f t="shared" si="13"/>
        <v>36000</v>
      </c>
      <c r="N69" s="9">
        <f t="shared" si="14"/>
        <v>18000</v>
      </c>
      <c r="O69" s="7" t="s">
        <v>1007</v>
      </c>
      <c r="P69" s="10">
        <f t="shared" si="15"/>
        <v>0</v>
      </c>
      <c r="Q69" s="9">
        <f t="shared" si="16"/>
        <v>0</v>
      </c>
      <c r="R69" s="9">
        <f t="shared" si="17"/>
        <v>5000</v>
      </c>
      <c r="S69" s="9" t="str">
        <f t="shared" si="18"/>
        <v>Loss</v>
      </c>
      <c r="T69" s="7" t="str">
        <f t="shared" si="19"/>
        <v>Aug</v>
      </c>
      <c r="U69" s="7">
        <f t="shared" si="20"/>
        <v>2025</v>
      </c>
      <c r="V69" s="7" t="str">
        <f t="shared" si="21"/>
        <v>45-50</v>
      </c>
    </row>
    <row r="70" spans="1:22" x14ac:dyDescent="0.3">
      <c r="A70" s="7" t="s">
        <v>87</v>
      </c>
      <c r="B70" s="8" t="s">
        <v>1091</v>
      </c>
      <c r="C70" s="8">
        <v>48</v>
      </c>
      <c r="D70" s="8" t="s">
        <v>720</v>
      </c>
      <c r="E70" s="8" t="s">
        <v>723</v>
      </c>
      <c r="F70" s="7" t="s">
        <v>729</v>
      </c>
      <c r="G70" s="7" t="s">
        <v>793</v>
      </c>
      <c r="H70" s="7" t="s">
        <v>780</v>
      </c>
      <c r="I70" s="7" t="s">
        <v>920</v>
      </c>
      <c r="J70" s="7">
        <f t="shared" si="11"/>
        <v>7</v>
      </c>
      <c r="K70" s="9">
        <f t="shared" si="12"/>
        <v>70000</v>
      </c>
      <c r="L70" s="7">
        <v>1</v>
      </c>
      <c r="M70" s="9">
        <f t="shared" si="13"/>
        <v>70000</v>
      </c>
      <c r="N70" s="9">
        <f t="shared" si="14"/>
        <v>42000</v>
      </c>
      <c r="O70" s="7" t="s">
        <v>1006</v>
      </c>
      <c r="P70" s="10">
        <f t="shared" si="15"/>
        <v>7.0000000000000007E-2</v>
      </c>
      <c r="Q70" s="9">
        <f t="shared" si="16"/>
        <v>4900.0000000000009</v>
      </c>
      <c r="R70" s="9">
        <f t="shared" si="17"/>
        <v>65100</v>
      </c>
      <c r="S70" s="9" t="str">
        <f t="shared" si="18"/>
        <v>Profit</v>
      </c>
      <c r="T70" s="7" t="str">
        <f t="shared" si="19"/>
        <v>Jul</v>
      </c>
      <c r="U70" s="7">
        <f t="shared" si="20"/>
        <v>2025</v>
      </c>
      <c r="V70" s="7" t="str">
        <f t="shared" si="21"/>
        <v>45-50</v>
      </c>
    </row>
    <row r="71" spans="1:22" x14ac:dyDescent="0.3">
      <c r="A71" s="7" t="s">
        <v>88</v>
      </c>
      <c r="B71" s="8" t="s">
        <v>1092</v>
      </c>
      <c r="C71" s="8">
        <v>27</v>
      </c>
      <c r="D71" s="8" t="s">
        <v>720</v>
      </c>
      <c r="E71" s="8" t="s">
        <v>723</v>
      </c>
      <c r="F71" s="7" t="s">
        <v>733</v>
      </c>
      <c r="G71" s="7" t="s">
        <v>794</v>
      </c>
      <c r="H71" s="7" t="s">
        <v>790</v>
      </c>
      <c r="I71" s="7" t="s">
        <v>874</v>
      </c>
      <c r="J71" s="7">
        <f t="shared" si="11"/>
        <v>7</v>
      </c>
      <c r="K71" s="9">
        <f t="shared" si="12"/>
        <v>70000</v>
      </c>
      <c r="L71" s="7">
        <v>1</v>
      </c>
      <c r="M71" s="9">
        <f t="shared" si="13"/>
        <v>70000</v>
      </c>
      <c r="N71" s="9">
        <f t="shared" si="14"/>
        <v>42000</v>
      </c>
      <c r="O71" s="7" t="s">
        <v>1007</v>
      </c>
      <c r="P71" s="10">
        <f t="shared" si="15"/>
        <v>0</v>
      </c>
      <c r="Q71" s="9">
        <f t="shared" si="16"/>
        <v>0</v>
      </c>
      <c r="R71" s="9">
        <f t="shared" si="17"/>
        <v>5000</v>
      </c>
      <c r="S71" s="9" t="str">
        <f t="shared" si="18"/>
        <v>Loss</v>
      </c>
      <c r="T71" s="7" t="str">
        <f t="shared" si="19"/>
        <v>Jan</v>
      </c>
      <c r="U71" s="7">
        <f t="shared" si="20"/>
        <v>2025</v>
      </c>
      <c r="V71" s="7" t="str">
        <f t="shared" si="21"/>
        <v>25-30</v>
      </c>
    </row>
    <row r="72" spans="1:22" x14ac:dyDescent="0.3">
      <c r="A72" s="7" t="s">
        <v>89</v>
      </c>
      <c r="B72" s="8" t="s">
        <v>1093</v>
      </c>
      <c r="C72" s="8">
        <v>45</v>
      </c>
      <c r="D72" s="8" t="s">
        <v>721</v>
      </c>
      <c r="E72" s="8" t="s">
        <v>726</v>
      </c>
      <c r="F72" s="7" t="s">
        <v>728</v>
      </c>
      <c r="G72" s="7" t="s">
        <v>747</v>
      </c>
      <c r="H72" s="7" t="s">
        <v>796</v>
      </c>
      <c r="I72" s="7" t="s">
        <v>914</v>
      </c>
      <c r="J72" s="7">
        <f t="shared" si="11"/>
        <v>4</v>
      </c>
      <c r="K72" s="9">
        <f t="shared" si="12"/>
        <v>18000</v>
      </c>
      <c r="L72" s="7">
        <v>2</v>
      </c>
      <c r="M72" s="9">
        <f t="shared" si="13"/>
        <v>36000</v>
      </c>
      <c r="N72" s="9">
        <f t="shared" si="14"/>
        <v>18000</v>
      </c>
      <c r="O72" s="7" t="s">
        <v>1006</v>
      </c>
      <c r="P72" s="10">
        <f t="shared" si="15"/>
        <v>0.05</v>
      </c>
      <c r="Q72" s="9">
        <f t="shared" si="16"/>
        <v>1800</v>
      </c>
      <c r="R72" s="9">
        <f t="shared" si="17"/>
        <v>34200</v>
      </c>
      <c r="S72" s="9" t="str">
        <f t="shared" si="18"/>
        <v>Profit</v>
      </c>
      <c r="T72" s="7" t="str">
        <f t="shared" si="19"/>
        <v>Jun</v>
      </c>
      <c r="U72" s="7">
        <f t="shared" si="20"/>
        <v>2025</v>
      </c>
      <c r="V72" s="7" t="str">
        <f t="shared" si="21"/>
        <v>45-50</v>
      </c>
    </row>
    <row r="73" spans="1:22" x14ac:dyDescent="0.3">
      <c r="A73" s="7" t="s">
        <v>90</v>
      </c>
      <c r="B73" s="8" t="s">
        <v>1094</v>
      </c>
      <c r="C73" s="8">
        <v>33</v>
      </c>
      <c r="D73" s="8" t="s">
        <v>721</v>
      </c>
      <c r="E73" s="8" t="s">
        <v>724</v>
      </c>
      <c r="F73" s="7" t="s">
        <v>1735</v>
      </c>
      <c r="G73" s="7" t="s">
        <v>795</v>
      </c>
      <c r="H73" s="7" t="s">
        <v>832</v>
      </c>
      <c r="I73" s="7" t="s">
        <v>802</v>
      </c>
      <c r="J73" s="7">
        <f t="shared" si="11"/>
        <v>10</v>
      </c>
      <c r="K73" s="9">
        <f t="shared" si="12"/>
        <v>120000</v>
      </c>
      <c r="L73" s="7">
        <v>1</v>
      </c>
      <c r="M73" s="9">
        <f t="shared" si="13"/>
        <v>120000</v>
      </c>
      <c r="N73" s="9">
        <f t="shared" si="14"/>
        <v>78000</v>
      </c>
      <c r="O73" s="7" t="s">
        <v>1006</v>
      </c>
      <c r="P73" s="10">
        <f t="shared" si="15"/>
        <v>0.15</v>
      </c>
      <c r="Q73" s="9">
        <f t="shared" si="16"/>
        <v>18000</v>
      </c>
      <c r="R73" s="9">
        <f t="shared" si="17"/>
        <v>102000</v>
      </c>
      <c r="S73" s="9" t="str">
        <f t="shared" si="18"/>
        <v>Profit</v>
      </c>
      <c r="T73" s="7" t="str">
        <f t="shared" si="19"/>
        <v>Jan</v>
      </c>
      <c r="U73" s="7">
        <f t="shared" si="20"/>
        <v>2025</v>
      </c>
      <c r="V73" s="7" t="str">
        <f t="shared" si="21"/>
        <v>30-35</v>
      </c>
    </row>
    <row r="74" spans="1:22" x14ac:dyDescent="0.3">
      <c r="A74" s="7" t="s">
        <v>91</v>
      </c>
      <c r="B74" s="8" t="s">
        <v>1095</v>
      </c>
      <c r="C74" s="8">
        <v>41</v>
      </c>
      <c r="D74" s="8" t="s">
        <v>720</v>
      </c>
      <c r="E74" s="8" t="s">
        <v>722</v>
      </c>
      <c r="F74" s="7" t="s">
        <v>1730</v>
      </c>
      <c r="G74" s="7" t="s">
        <v>796</v>
      </c>
      <c r="H74" s="7" t="s">
        <v>939</v>
      </c>
      <c r="I74" s="7" t="s">
        <v>793</v>
      </c>
      <c r="J74" s="7">
        <f t="shared" si="11"/>
        <v>5</v>
      </c>
      <c r="K74" s="9">
        <f t="shared" si="12"/>
        <v>60000</v>
      </c>
      <c r="L74" s="7">
        <v>1</v>
      </c>
      <c r="M74" s="9">
        <f t="shared" si="13"/>
        <v>60000</v>
      </c>
      <c r="N74" s="9">
        <f t="shared" si="14"/>
        <v>39000</v>
      </c>
      <c r="O74" s="7" t="s">
        <v>1006</v>
      </c>
      <c r="P74" s="10">
        <f t="shared" si="15"/>
        <v>0.1</v>
      </c>
      <c r="Q74" s="9">
        <f t="shared" si="16"/>
        <v>6000</v>
      </c>
      <c r="R74" s="9">
        <f t="shared" si="17"/>
        <v>54000</v>
      </c>
      <c r="S74" s="9" t="str">
        <f t="shared" si="18"/>
        <v>Profit</v>
      </c>
      <c r="T74" s="7" t="str">
        <f t="shared" si="19"/>
        <v>Jul</v>
      </c>
      <c r="U74" s="7">
        <f t="shared" si="20"/>
        <v>2025</v>
      </c>
      <c r="V74" s="7" t="str">
        <f t="shared" si="21"/>
        <v>40-45</v>
      </c>
    </row>
    <row r="75" spans="1:22" x14ac:dyDescent="0.3">
      <c r="A75" s="7" t="s">
        <v>92</v>
      </c>
      <c r="B75" s="8" t="s">
        <v>1096</v>
      </c>
      <c r="C75" s="8">
        <v>36</v>
      </c>
      <c r="D75" s="8" t="s">
        <v>721</v>
      </c>
      <c r="E75" s="8" t="s">
        <v>722</v>
      </c>
      <c r="F75" s="7" t="s">
        <v>730</v>
      </c>
      <c r="G75" s="7" t="s">
        <v>797</v>
      </c>
      <c r="H75" s="7" t="s">
        <v>804</v>
      </c>
      <c r="I75" s="7" t="s">
        <v>746</v>
      </c>
      <c r="J75" s="7">
        <f t="shared" si="11"/>
        <v>5</v>
      </c>
      <c r="K75" s="9">
        <f t="shared" si="12"/>
        <v>60000</v>
      </c>
      <c r="L75" s="7">
        <v>4</v>
      </c>
      <c r="M75" s="9">
        <f t="shared" si="13"/>
        <v>240000</v>
      </c>
      <c r="N75" s="9">
        <f t="shared" si="14"/>
        <v>156000</v>
      </c>
      <c r="O75" s="7" t="s">
        <v>1006</v>
      </c>
      <c r="P75" s="10">
        <f t="shared" si="15"/>
        <v>0.1</v>
      </c>
      <c r="Q75" s="9">
        <f t="shared" si="16"/>
        <v>24000</v>
      </c>
      <c r="R75" s="9">
        <f t="shared" si="17"/>
        <v>216000</v>
      </c>
      <c r="S75" s="9" t="str">
        <f t="shared" si="18"/>
        <v>Profit</v>
      </c>
      <c r="T75" s="7" t="str">
        <f t="shared" si="19"/>
        <v>Apr</v>
      </c>
      <c r="U75" s="7">
        <f t="shared" si="20"/>
        <v>2025</v>
      </c>
      <c r="V75" s="7" t="str">
        <f t="shared" si="21"/>
        <v>35-40</v>
      </c>
    </row>
    <row r="76" spans="1:22" x14ac:dyDescent="0.3">
      <c r="A76" s="7" t="s">
        <v>93</v>
      </c>
      <c r="B76" s="8" t="s">
        <v>1097</v>
      </c>
      <c r="C76" s="8">
        <v>30</v>
      </c>
      <c r="D76" s="8" t="s">
        <v>721</v>
      </c>
      <c r="E76" s="8" t="s">
        <v>722</v>
      </c>
      <c r="F76" s="7" t="s">
        <v>1730</v>
      </c>
      <c r="G76" s="7" t="s">
        <v>798</v>
      </c>
      <c r="H76" s="7" t="s">
        <v>940</v>
      </c>
      <c r="I76" s="7" t="s">
        <v>868</v>
      </c>
      <c r="J76" s="7">
        <f t="shared" si="11"/>
        <v>5</v>
      </c>
      <c r="K76" s="9">
        <f t="shared" si="12"/>
        <v>60000</v>
      </c>
      <c r="L76" s="7">
        <v>3</v>
      </c>
      <c r="M76" s="9">
        <f t="shared" si="13"/>
        <v>180000</v>
      </c>
      <c r="N76" s="9">
        <f t="shared" si="14"/>
        <v>117000</v>
      </c>
      <c r="O76" s="7" t="s">
        <v>1007</v>
      </c>
      <c r="P76" s="10">
        <f t="shared" si="15"/>
        <v>0</v>
      </c>
      <c r="Q76" s="9">
        <f t="shared" si="16"/>
        <v>0</v>
      </c>
      <c r="R76" s="9">
        <f t="shared" si="17"/>
        <v>5000</v>
      </c>
      <c r="S76" s="9" t="str">
        <f t="shared" si="18"/>
        <v>Loss</v>
      </c>
      <c r="T76" s="7" t="str">
        <f t="shared" si="19"/>
        <v>Feb</v>
      </c>
      <c r="U76" s="7">
        <f t="shared" si="20"/>
        <v>2025</v>
      </c>
      <c r="V76" s="7" t="str">
        <f t="shared" si="21"/>
        <v>30-35</v>
      </c>
    </row>
    <row r="77" spans="1:22" x14ac:dyDescent="0.3">
      <c r="A77" s="7" t="s">
        <v>94</v>
      </c>
      <c r="B77" s="8" t="s">
        <v>1098</v>
      </c>
      <c r="C77" s="8">
        <v>32</v>
      </c>
      <c r="D77" s="8" t="s">
        <v>720</v>
      </c>
      <c r="E77" s="8" t="s">
        <v>724</v>
      </c>
      <c r="F77" s="7" t="s">
        <v>1736</v>
      </c>
      <c r="G77" s="7" t="s">
        <v>799</v>
      </c>
      <c r="H77" s="7" t="s">
        <v>806</v>
      </c>
      <c r="I77" s="7" t="s">
        <v>807</v>
      </c>
      <c r="J77" s="7">
        <f t="shared" si="11"/>
        <v>10</v>
      </c>
      <c r="K77" s="9">
        <f t="shared" si="12"/>
        <v>120000</v>
      </c>
      <c r="L77" s="7">
        <v>4</v>
      </c>
      <c r="M77" s="9">
        <f t="shared" si="13"/>
        <v>480000</v>
      </c>
      <c r="N77" s="9">
        <f t="shared" si="14"/>
        <v>312000</v>
      </c>
      <c r="O77" s="7" t="s">
        <v>1006</v>
      </c>
      <c r="P77" s="10">
        <f t="shared" si="15"/>
        <v>0.15</v>
      </c>
      <c r="Q77" s="9">
        <f t="shared" si="16"/>
        <v>72000</v>
      </c>
      <c r="R77" s="9">
        <f t="shared" si="17"/>
        <v>408000</v>
      </c>
      <c r="S77" s="9" t="str">
        <f t="shared" si="18"/>
        <v>Profit</v>
      </c>
      <c r="T77" s="7" t="str">
        <f t="shared" si="19"/>
        <v>Jan</v>
      </c>
      <c r="U77" s="7">
        <f t="shared" si="20"/>
        <v>2025</v>
      </c>
      <c r="V77" s="7" t="str">
        <f t="shared" si="21"/>
        <v>30-35</v>
      </c>
    </row>
    <row r="78" spans="1:22" x14ac:dyDescent="0.3">
      <c r="A78" s="7" t="s">
        <v>95</v>
      </c>
      <c r="B78" s="8" t="s">
        <v>1099</v>
      </c>
      <c r="C78" s="8">
        <v>27</v>
      </c>
      <c r="D78" s="8" t="s">
        <v>721</v>
      </c>
      <c r="E78" s="8" t="s">
        <v>726</v>
      </c>
      <c r="F78" s="7" t="s">
        <v>1729</v>
      </c>
      <c r="G78" s="7" t="s">
        <v>772</v>
      </c>
      <c r="H78" s="7" t="s">
        <v>965</v>
      </c>
      <c r="I78" s="7" t="s">
        <v>1001</v>
      </c>
      <c r="J78" s="7">
        <f t="shared" si="11"/>
        <v>4</v>
      </c>
      <c r="K78" s="9">
        <f t="shared" si="12"/>
        <v>18000</v>
      </c>
      <c r="L78" s="7">
        <v>3</v>
      </c>
      <c r="M78" s="9">
        <f t="shared" si="13"/>
        <v>54000</v>
      </c>
      <c r="N78" s="9">
        <f t="shared" si="14"/>
        <v>27000</v>
      </c>
      <c r="O78" s="7" t="s">
        <v>1007</v>
      </c>
      <c r="P78" s="10">
        <f t="shared" si="15"/>
        <v>0</v>
      </c>
      <c r="Q78" s="9">
        <f t="shared" si="16"/>
        <v>0</v>
      </c>
      <c r="R78" s="9">
        <f t="shared" si="17"/>
        <v>5000</v>
      </c>
      <c r="S78" s="9" t="str">
        <f t="shared" si="18"/>
        <v>Loss</v>
      </c>
      <c r="T78" s="7" t="str">
        <f t="shared" si="19"/>
        <v>Aug</v>
      </c>
      <c r="U78" s="7">
        <f t="shared" si="20"/>
        <v>2025</v>
      </c>
      <c r="V78" s="7" t="str">
        <f t="shared" si="21"/>
        <v>25-30</v>
      </c>
    </row>
    <row r="79" spans="1:22" x14ac:dyDescent="0.3">
      <c r="A79" s="7" t="s">
        <v>96</v>
      </c>
      <c r="B79" s="8" t="s">
        <v>1100</v>
      </c>
      <c r="C79" s="8">
        <v>28</v>
      </c>
      <c r="D79" s="8" t="s">
        <v>720</v>
      </c>
      <c r="E79" s="8" t="s">
        <v>725</v>
      </c>
      <c r="F79" s="7" t="s">
        <v>1730</v>
      </c>
      <c r="G79" s="7" t="s">
        <v>755</v>
      </c>
      <c r="H79" s="7" t="s">
        <v>963</v>
      </c>
      <c r="I79" s="7" t="s">
        <v>824</v>
      </c>
      <c r="J79" s="7">
        <f t="shared" si="11"/>
        <v>8</v>
      </c>
      <c r="K79" s="9">
        <f t="shared" si="12"/>
        <v>80000</v>
      </c>
      <c r="L79" s="7">
        <v>2</v>
      </c>
      <c r="M79" s="9">
        <f t="shared" si="13"/>
        <v>160000</v>
      </c>
      <c r="N79" s="9">
        <f t="shared" si="14"/>
        <v>96000</v>
      </c>
      <c r="O79" s="7" t="s">
        <v>1006</v>
      </c>
      <c r="P79" s="10">
        <f t="shared" si="15"/>
        <v>0.12</v>
      </c>
      <c r="Q79" s="9">
        <f t="shared" si="16"/>
        <v>19200</v>
      </c>
      <c r="R79" s="9">
        <f t="shared" si="17"/>
        <v>140800</v>
      </c>
      <c r="S79" s="9" t="str">
        <f t="shared" si="18"/>
        <v>Profit</v>
      </c>
      <c r="T79" s="7" t="str">
        <f t="shared" si="19"/>
        <v>May</v>
      </c>
      <c r="U79" s="7">
        <f t="shared" si="20"/>
        <v>2025</v>
      </c>
      <c r="V79" s="7" t="str">
        <f t="shared" si="21"/>
        <v>25-30</v>
      </c>
    </row>
    <row r="80" spans="1:22" x14ac:dyDescent="0.3">
      <c r="A80" s="7" t="s">
        <v>97</v>
      </c>
      <c r="B80" s="8" t="s">
        <v>1101</v>
      </c>
      <c r="C80" s="8">
        <v>49</v>
      </c>
      <c r="D80" s="8" t="s">
        <v>720</v>
      </c>
      <c r="E80" s="8" t="s">
        <v>724</v>
      </c>
      <c r="F80" s="7" t="s">
        <v>733</v>
      </c>
      <c r="G80" s="7" t="s">
        <v>800</v>
      </c>
      <c r="H80" s="7" t="s">
        <v>843</v>
      </c>
      <c r="I80" s="7" t="s">
        <v>736</v>
      </c>
      <c r="J80" s="7">
        <f t="shared" si="11"/>
        <v>10</v>
      </c>
      <c r="K80" s="9">
        <f t="shared" si="12"/>
        <v>120000</v>
      </c>
      <c r="L80" s="7">
        <v>2</v>
      </c>
      <c r="M80" s="9">
        <f t="shared" si="13"/>
        <v>240000</v>
      </c>
      <c r="N80" s="9">
        <f t="shared" si="14"/>
        <v>156000</v>
      </c>
      <c r="O80" s="7" t="s">
        <v>1007</v>
      </c>
      <c r="P80" s="10">
        <f t="shared" si="15"/>
        <v>0</v>
      </c>
      <c r="Q80" s="9">
        <f t="shared" si="16"/>
        <v>0</v>
      </c>
      <c r="R80" s="9">
        <f t="shared" si="17"/>
        <v>5000</v>
      </c>
      <c r="S80" s="9" t="str">
        <f t="shared" si="18"/>
        <v>Loss</v>
      </c>
      <c r="T80" s="7" t="str">
        <f t="shared" si="19"/>
        <v>Jun</v>
      </c>
      <c r="U80" s="7">
        <f t="shared" si="20"/>
        <v>2025</v>
      </c>
      <c r="V80" s="7" t="str">
        <f t="shared" si="21"/>
        <v>45-50</v>
      </c>
    </row>
    <row r="81" spans="1:22" x14ac:dyDescent="0.3">
      <c r="A81" s="7" t="s">
        <v>98</v>
      </c>
      <c r="B81" s="8" t="s">
        <v>1102</v>
      </c>
      <c r="C81" s="8">
        <v>59</v>
      </c>
      <c r="D81" s="8" t="s">
        <v>720</v>
      </c>
      <c r="E81" s="8" t="s">
        <v>726</v>
      </c>
      <c r="F81" s="7" t="s">
        <v>1727</v>
      </c>
      <c r="G81" s="7" t="s">
        <v>801</v>
      </c>
      <c r="H81" s="7" t="s">
        <v>750</v>
      </c>
      <c r="I81" s="7" t="s">
        <v>833</v>
      </c>
      <c r="J81" s="7">
        <f t="shared" si="11"/>
        <v>4</v>
      </c>
      <c r="K81" s="9">
        <f t="shared" si="12"/>
        <v>18000</v>
      </c>
      <c r="L81" s="7">
        <v>1</v>
      </c>
      <c r="M81" s="9">
        <f t="shared" si="13"/>
        <v>18000</v>
      </c>
      <c r="N81" s="9">
        <f t="shared" si="14"/>
        <v>9000</v>
      </c>
      <c r="O81" s="7" t="s">
        <v>1007</v>
      </c>
      <c r="P81" s="10">
        <f t="shared" si="15"/>
        <v>0</v>
      </c>
      <c r="Q81" s="9">
        <f t="shared" si="16"/>
        <v>0</v>
      </c>
      <c r="R81" s="9">
        <f t="shared" si="17"/>
        <v>5000</v>
      </c>
      <c r="S81" s="9" t="str">
        <f t="shared" si="18"/>
        <v>Loss</v>
      </c>
      <c r="T81" s="7" t="str">
        <f t="shared" si="19"/>
        <v>May</v>
      </c>
      <c r="U81" s="7">
        <f t="shared" si="20"/>
        <v>2025</v>
      </c>
      <c r="V81" s="7" t="str">
        <f t="shared" si="21"/>
        <v>55-60</v>
      </c>
    </row>
    <row r="82" spans="1:22" x14ac:dyDescent="0.3">
      <c r="A82" s="7" t="s">
        <v>99</v>
      </c>
      <c r="B82" s="8" t="s">
        <v>1103</v>
      </c>
      <c r="C82" s="8">
        <v>41</v>
      </c>
      <c r="D82" s="8" t="s">
        <v>721</v>
      </c>
      <c r="E82" s="8" t="s">
        <v>722</v>
      </c>
      <c r="F82" s="7" t="s">
        <v>727</v>
      </c>
      <c r="G82" s="7" t="s">
        <v>802</v>
      </c>
      <c r="H82" s="7" t="s">
        <v>871</v>
      </c>
      <c r="I82" s="7" t="s">
        <v>807</v>
      </c>
      <c r="J82" s="7">
        <f t="shared" si="11"/>
        <v>5</v>
      </c>
      <c r="K82" s="9">
        <f t="shared" si="12"/>
        <v>60000</v>
      </c>
      <c r="L82" s="7">
        <v>4</v>
      </c>
      <c r="M82" s="9">
        <f t="shared" si="13"/>
        <v>240000</v>
      </c>
      <c r="N82" s="9">
        <f t="shared" si="14"/>
        <v>156000</v>
      </c>
      <c r="O82" s="7" t="s">
        <v>1007</v>
      </c>
      <c r="P82" s="10">
        <f t="shared" si="15"/>
        <v>0</v>
      </c>
      <c r="Q82" s="9">
        <f t="shared" si="16"/>
        <v>0</v>
      </c>
      <c r="R82" s="9">
        <f t="shared" si="17"/>
        <v>5000</v>
      </c>
      <c r="S82" s="9" t="str">
        <f t="shared" si="18"/>
        <v>Loss</v>
      </c>
      <c r="T82" s="7" t="str">
        <f t="shared" si="19"/>
        <v>Feb</v>
      </c>
      <c r="U82" s="7">
        <f t="shared" si="20"/>
        <v>2025</v>
      </c>
      <c r="V82" s="7" t="str">
        <f t="shared" si="21"/>
        <v>40-45</v>
      </c>
    </row>
    <row r="83" spans="1:22" x14ac:dyDescent="0.3">
      <c r="A83" s="7" t="s">
        <v>100</v>
      </c>
      <c r="B83" s="8" t="s">
        <v>1104</v>
      </c>
      <c r="C83" s="8">
        <v>43</v>
      </c>
      <c r="D83" s="8" t="s">
        <v>720</v>
      </c>
      <c r="E83" s="8" t="s">
        <v>723</v>
      </c>
      <c r="F83" s="7" t="s">
        <v>730</v>
      </c>
      <c r="G83" s="7" t="s">
        <v>803</v>
      </c>
      <c r="H83" s="7" t="s">
        <v>921</v>
      </c>
      <c r="I83" s="7" t="s">
        <v>888</v>
      </c>
      <c r="J83" s="7">
        <f t="shared" si="11"/>
        <v>7</v>
      </c>
      <c r="K83" s="9">
        <f t="shared" si="12"/>
        <v>70000</v>
      </c>
      <c r="L83" s="7">
        <v>3</v>
      </c>
      <c r="M83" s="9">
        <f t="shared" si="13"/>
        <v>210000</v>
      </c>
      <c r="N83" s="9">
        <f t="shared" si="14"/>
        <v>126000</v>
      </c>
      <c r="O83" s="7" t="s">
        <v>1006</v>
      </c>
      <c r="P83" s="10">
        <f t="shared" si="15"/>
        <v>7.0000000000000007E-2</v>
      </c>
      <c r="Q83" s="9">
        <f t="shared" si="16"/>
        <v>14700.000000000002</v>
      </c>
      <c r="R83" s="9">
        <f t="shared" si="17"/>
        <v>195300</v>
      </c>
      <c r="S83" s="9" t="str">
        <f t="shared" si="18"/>
        <v>Profit</v>
      </c>
      <c r="T83" s="7" t="str">
        <f t="shared" si="19"/>
        <v>Mar</v>
      </c>
      <c r="U83" s="7">
        <f t="shared" si="20"/>
        <v>2025</v>
      </c>
      <c r="V83" s="7" t="str">
        <f t="shared" si="21"/>
        <v>40-45</v>
      </c>
    </row>
    <row r="84" spans="1:22" x14ac:dyDescent="0.3">
      <c r="A84" s="7" t="s">
        <v>101</v>
      </c>
      <c r="B84" s="8" t="s">
        <v>1105</v>
      </c>
      <c r="C84" s="8">
        <v>29</v>
      </c>
      <c r="D84" s="8" t="s">
        <v>720</v>
      </c>
      <c r="E84" s="8" t="s">
        <v>725</v>
      </c>
      <c r="F84" s="7" t="s">
        <v>735</v>
      </c>
      <c r="G84" s="7" t="s">
        <v>804</v>
      </c>
      <c r="H84" s="7" t="s">
        <v>816</v>
      </c>
      <c r="I84" s="7" t="s">
        <v>801</v>
      </c>
      <c r="J84" s="7">
        <f t="shared" si="11"/>
        <v>8</v>
      </c>
      <c r="K84" s="9">
        <f t="shared" si="12"/>
        <v>80000</v>
      </c>
      <c r="L84" s="7">
        <v>2</v>
      </c>
      <c r="M84" s="9">
        <f t="shared" si="13"/>
        <v>160000</v>
      </c>
      <c r="N84" s="9">
        <f t="shared" si="14"/>
        <v>96000</v>
      </c>
      <c r="O84" s="7" t="s">
        <v>1006</v>
      </c>
      <c r="P84" s="10">
        <f t="shared" si="15"/>
        <v>0.12</v>
      </c>
      <c r="Q84" s="9">
        <f t="shared" si="16"/>
        <v>19200</v>
      </c>
      <c r="R84" s="9">
        <f t="shared" si="17"/>
        <v>140800</v>
      </c>
      <c r="S84" s="9" t="str">
        <f t="shared" si="18"/>
        <v>Profit</v>
      </c>
      <c r="T84" s="7" t="str">
        <f t="shared" si="19"/>
        <v>May</v>
      </c>
      <c r="U84" s="7">
        <f t="shared" si="20"/>
        <v>2025</v>
      </c>
      <c r="V84" s="7" t="str">
        <f t="shared" si="21"/>
        <v>25-30</v>
      </c>
    </row>
    <row r="85" spans="1:22" x14ac:dyDescent="0.3">
      <c r="A85" s="7" t="s">
        <v>102</v>
      </c>
      <c r="B85" s="8" t="s">
        <v>1106</v>
      </c>
      <c r="C85" s="8">
        <v>26</v>
      </c>
      <c r="D85" s="8" t="s">
        <v>720</v>
      </c>
      <c r="E85" s="8" t="s">
        <v>726</v>
      </c>
      <c r="F85" s="7" t="s">
        <v>1731</v>
      </c>
      <c r="G85" s="7" t="s">
        <v>739</v>
      </c>
      <c r="H85" s="7" t="s">
        <v>812</v>
      </c>
      <c r="I85" s="7" t="s">
        <v>913</v>
      </c>
      <c r="J85" s="7">
        <f t="shared" si="11"/>
        <v>4</v>
      </c>
      <c r="K85" s="9">
        <f t="shared" si="12"/>
        <v>18000</v>
      </c>
      <c r="L85" s="7">
        <v>1</v>
      </c>
      <c r="M85" s="9">
        <f t="shared" si="13"/>
        <v>18000</v>
      </c>
      <c r="N85" s="9">
        <f t="shared" si="14"/>
        <v>9000</v>
      </c>
      <c r="O85" s="7" t="s">
        <v>1007</v>
      </c>
      <c r="P85" s="10">
        <f t="shared" si="15"/>
        <v>0</v>
      </c>
      <c r="Q85" s="9">
        <f t="shared" si="16"/>
        <v>0</v>
      </c>
      <c r="R85" s="9">
        <f t="shared" si="17"/>
        <v>5000</v>
      </c>
      <c r="S85" s="9" t="str">
        <f t="shared" si="18"/>
        <v>Loss</v>
      </c>
      <c r="T85" s="7" t="str">
        <f t="shared" si="19"/>
        <v>Jun</v>
      </c>
      <c r="U85" s="7">
        <f t="shared" si="20"/>
        <v>2025</v>
      </c>
      <c r="V85" s="7" t="str">
        <f t="shared" si="21"/>
        <v>25-30</v>
      </c>
    </row>
    <row r="86" spans="1:22" x14ac:dyDescent="0.3">
      <c r="A86" s="7" t="s">
        <v>103</v>
      </c>
      <c r="B86" s="8" t="s">
        <v>1107</v>
      </c>
      <c r="C86" s="8">
        <v>23</v>
      </c>
      <c r="D86" s="8" t="s">
        <v>721</v>
      </c>
      <c r="E86" s="8" t="s">
        <v>725</v>
      </c>
      <c r="F86" s="7" t="s">
        <v>728</v>
      </c>
      <c r="G86" s="7" t="s">
        <v>805</v>
      </c>
      <c r="H86" s="7" t="s">
        <v>962</v>
      </c>
      <c r="I86" s="7" t="s">
        <v>844</v>
      </c>
      <c r="J86" s="7">
        <f t="shared" si="11"/>
        <v>8</v>
      </c>
      <c r="K86" s="9">
        <f t="shared" si="12"/>
        <v>80000</v>
      </c>
      <c r="L86" s="7">
        <v>2</v>
      </c>
      <c r="M86" s="9">
        <f t="shared" si="13"/>
        <v>160000</v>
      </c>
      <c r="N86" s="9">
        <f t="shared" si="14"/>
        <v>96000</v>
      </c>
      <c r="O86" s="7" t="s">
        <v>1007</v>
      </c>
      <c r="P86" s="10">
        <f t="shared" si="15"/>
        <v>0</v>
      </c>
      <c r="Q86" s="9">
        <f t="shared" si="16"/>
        <v>0</v>
      </c>
      <c r="R86" s="9">
        <f t="shared" si="17"/>
        <v>5000</v>
      </c>
      <c r="S86" s="9" t="str">
        <f t="shared" si="18"/>
        <v>Loss</v>
      </c>
      <c r="T86" s="7" t="str">
        <f t="shared" si="19"/>
        <v>May</v>
      </c>
      <c r="U86" s="7">
        <f t="shared" si="20"/>
        <v>2025</v>
      </c>
      <c r="V86" s="7" t="str">
        <f t="shared" si="21"/>
        <v>20-25</v>
      </c>
    </row>
    <row r="87" spans="1:22" x14ac:dyDescent="0.3">
      <c r="A87" s="7" t="s">
        <v>104</v>
      </c>
      <c r="B87" s="8" t="s">
        <v>1108</v>
      </c>
      <c r="C87" s="8">
        <v>56</v>
      </c>
      <c r="D87" s="8" t="s">
        <v>720</v>
      </c>
      <c r="E87" s="8" t="s">
        <v>723</v>
      </c>
      <c r="F87" s="7" t="s">
        <v>730</v>
      </c>
      <c r="G87" s="7" t="s">
        <v>781</v>
      </c>
      <c r="H87" s="7" t="s">
        <v>855</v>
      </c>
      <c r="I87" s="7" t="s">
        <v>946</v>
      </c>
      <c r="J87" s="7">
        <f t="shared" si="11"/>
        <v>7</v>
      </c>
      <c r="K87" s="9">
        <f t="shared" si="12"/>
        <v>70000</v>
      </c>
      <c r="L87" s="7">
        <v>2</v>
      </c>
      <c r="M87" s="9">
        <f t="shared" si="13"/>
        <v>140000</v>
      </c>
      <c r="N87" s="9">
        <f t="shared" si="14"/>
        <v>84000</v>
      </c>
      <c r="O87" s="7" t="s">
        <v>1007</v>
      </c>
      <c r="P87" s="10">
        <f t="shared" si="15"/>
        <v>0</v>
      </c>
      <c r="Q87" s="9">
        <f t="shared" si="16"/>
        <v>0</v>
      </c>
      <c r="R87" s="9">
        <f t="shared" si="17"/>
        <v>5000</v>
      </c>
      <c r="S87" s="9" t="str">
        <f t="shared" si="18"/>
        <v>Loss</v>
      </c>
      <c r="T87" s="7" t="str">
        <f t="shared" si="19"/>
        <v>Feb</v>
      </c>
      <c r="U87" s="7">
        <f t="shared" si="20"/>
        <v>2025</v>
      </c>
      <c r="V87" s="7" t="str">
        <f t="shared" si="21"/>
        <v>55-60</v>
      </c>
    </row>
    <row r="88" spans="1:22" x14ac:dyDescent="0.3">
      <c r="A88" s="7" t="s">
        <v>105</v>
      </c>
      <c r="B88" s="8" t="s">
        <v>1109</v>
      </c>
      <c r="C88" s="8">
        <v>24</v>
      </c>
      <c r="D88" s="8" t="s">
        <v>720</v>
      </c>
      <c r="E88" s="8" t="s">
        <v>726</v>
      </c>
      <c r="F88" s="7" t="s">
        <v>1731</v>
      </c>
      <c r="G88" s="7" t="s">
        <v>769</v>
      </c>
      <c r="H88" s="7" t="s">
        <v>803</v>
      </c>
      <c r="I88" s="7" t="s">
        <v>887</v>
      </c>
      <c r="J88" s="7">
        <f t="shared" si="11"/>
        <v>4</v>
      </c>
      <c r="K88" s="9">
        <f t="shared" si="12"/>
        <v>18000</v>
      </c>
      <c r="L88" s="7">
        <v>1</v>
      </c>
      <c r="M88" s="9">
        <f t="shared" si="13"/>
        <v>18000</v>
      </c>
      <c r="N88" s="9">
        <f t="shared" si="14"/>
        <v>9000</v>
      </c>
      <c r="O88" s="7" t="s">
        <v>1006</v>
      </c>
      <c r="P88" s="10">
        <f t="shared" si="15"/>
        <v>0.05</v>
      </c>
      <c r="Q88" s="9">
        <f t="shared" si="16"/>
        <v>900</v>
      </c>
      <c r="R88" s="9">
        <f t="shared" si="17"/>
        <v>17100</v>
      </c>
      <c r="S88" s="9" t="str">
        <f t="shared" si="18"/>
        <v>Profit</v>
      </c>
      <c r="T88" s="7" t="str">
        <f t="shared" si="19"/>
        <v>Feb</v>
      </c>
      <c r="U88" s="7">
        <f t="shared" si="20"/>
        <v>2025</v>
      </c>
      <c r="V88" s="7" t="str">
        <f t="shared" si="21"/>
        <v>20-25</v>
      </c>
    </row>
    <row r="89" spans="1:22" x14ac:dyDescent="0.3">
      <c r="A89" s="7" t="s">
        <v>106</v>
      </c>
      <c r="B89" s="8" t="s">
        <v>1110</v>
      </c>
      <c r="C89" s="8">
        <v>31</v>
      </c>
      <c r="D89" s="8" t="s">
        <v>720</v>
      </c>
      <c r="E89" s="8" t="s">
        <v>726</v>
      </c>
      <c r="F89" s="7" t="s">
        <v>1728</v>
      </c>
      <c r="G89" s="7" t="s">
        <v>745</v>
      </c>
      <c r="H89" s="7" t="s">
        <v>924</v>
      </c>
      <c r="I89" s="7" t="s">
        <v>925</v>
      </c>
      <c r="J89" s="7">
        <f t="shared" si="11"/>
        <v>4</v>
      </c>
      <c r="K89" s="9">
        <f t="shared" si="12"/>
        <v>18000</v>
      </c>
      <c r="L89" s="7">
        <v>4</v>
      </c>
      <c r="M89" s="9">
        <f t="shared" si="13"/>
        <v>72000</v>
      </c>
      <c r="N89" s="9">
        <f t="shared" si="14"/>
        <v>36000</v>
      </c>
      <c r="O89" s="7" t="s">
        <v>1006</v>
      </c>
      <c r="P89" s="10">
        <f t="shared" si="15"/>
        <v>0.05</v>
      </c>
      <c r="Q89" s="9">
        <f t="shared" si="16"/>
        <v>3600</v>
      </c>
      <c r="R89" s="9">
        <f t="shared" si="17"/>
        <v>68400</v>
      </c>
      <c r="S89" s="9" t="str">
        <f t="shared" si="18"/>
        <v>Profit</v>
      </c>
      <c r="T89" s="7" t="str">
        <f t="shared" si="19"/>
        <v>Jun</v>
      </c>
      <c r="U89" s="7">
        <f t="shared" si="20"/>
        <v>2025</v>
      </c>
      <c r="V89" s="7" t="str">
        <f t="shared" si="21"/>
        <v>30-35</v>
      </c>
    </row>
    <row r="90" spans="1:22" x14ac:dyDescent="0.3">
      <c r="A90" s="7" t="s">
        <v>107</v>
      </c>
      <c r="B90" s="8" t="s">
        <v>1111</v>
      </c>
      <c r="C90" s="8">
        <v>31</v>
      </c>
      <c r="D90" s="8" t="s">
        <v>720</v>
      </c>
      <c r="E90" s="8" t="s">
        <v>725</v>
      </c>
      <c r="F90" s="7" t="s">
        <v>731</v>
      </c>
      <c r="G90" s="7" t="s">
        <v>806</v>
      </c>
      <c r="H90" s="7" t="s">
        <v>813</v>
      </c>
      <c r="I90" s="7" t="s">
        <v>855</v>
      </c>
      <c r="J90" s="7">
        <f t="shared" si="11"/>
        <v>8</v>
      </c>
      <c r="K90" s="9">
        <f t="shared" si="12"/>
        <v>80000</v>
      </c>
      <c r="L90" s="7">
        <v>2</v>
      </c>
      <c r="M90" s="9">
        <f t="shared" si="13"/>
        <v>160000</v>
      </c>
      <c r="N90" s="9">
        <f t="shared" si="14"/>
        <v>96000</v>
      </c>
      <c r="O90" s="7" t="s">
        <v>1006</v>
      </c>
      <c r="P90" s="10">
        <f t="shared" si="15"/>
        <v>0.12</v>
      </c>
      <c r="Q90" s="9">
        <f t="shared" si="16"/>
        <v>19200</v>
      </c>
      <c r="R90" s="9">
        <f t="shared" si="17"/>
        <v>140800</v>
      </c>
      <c r="S90" s="9" t="str">
        <f t="shared" si="18"/>
        <v>Profit</v>
      </c>
      <c r="T90" s="7" t="str">
        <f t="shared" si="19"/>
        <v>Feb</v>
      </c>
      <c r="U90" s="7">
        <f t="shared" si="20"/>
        <v>2025</v>
      </c>
      <c r="V90" s="7" t="str">
        <f t="shared" si="21"/>
        <v>30-35</v>
      </c>
    </row>
    <row r="91" spans="1:22" x14ac:dyDescent="0.3">
      <c r="A91" s="7" t="s">
        <v>108</v>
      </c>
      <c r="B91" s="8" t="s">
        <v>1112</v>
      </c>
      <c r="C91" s="8">
        <v>52</v>
      </c>
      <c r="D91" s="8" t="s">
        <v>721</v>
      </c>
      <c r="E91" s="8" t="s">
        <v>724</v>
      </c>
      <c r="F91" s="7" t="s">
        <v>727</v>
      </c>
      <c r="G91" s="7" t="s">
        <v>807</v>
      </c>
      <c r="H91" s="7" t="s">
        <v>946</v>
      </c>
      <c r="I91" s="7" t="s">
        <v>760</v>
      </c>
      <c r="J91" s="7">
        <f t="shared" si="11"/>
        <v>10</v>
      </c>
      <c r="K91" s="9">
        <f t="shared" si="12"/>
        <v>120000</v>
      </c>
      <c r="L91" s="7">
        <v>4</v>
      </c>
      <c r="M91" s="9">
        <f t="shared" si="13"/>
        <v>480000</v>
      </c>
      <c r="N91" s="9">
        <f t="shared" si="14"/>
        <v>312000</v>
      </c>
      <c r="O91" s="7" t="s">
        <v>1007</v>
      </c>
      <c r="P91" s="10">
        <f t="shared" si="15"/>
        <v>0</v>
      </c>
      <c r="Q91" s="9">
        <f t="shared" si="16"/>
        <v>0</v>
      </c>
      <c r="R91" s="9">
        <f t="shared" si="17"/>
        <v>5000</v>
      </c>
      <c r="S91" s="9" t="str">
        <f t="shared" si="18"/>
        <v>Loss</v>
      </c>
      <c r="T91" s="7" t="str">
        <f t="shared" si="19"/>
        <v>Feb</v>
      </c>
      <c r="U91" s="7">
        <f t="shared" si="20"/>
        <v>2025</v>
      </c>
      <c r="V91" s="7" t="str">
        <f t="shared" si="21"/>
        <v>50-55</v>
      </c>
    </row>
    <row r="92" spans="1:22" x14ac:dyDescent="0.3">
      <c r="A92" s="7" t="s">
        <v>109</v>
      </c>
      <c r="B92" s="8" t="s">
        <v>1113</v>
      </c>
      <c r="C92" s="8">
        <v>48</v>
      </c>
      <c r="D92" s="8" t="s">
        <v>721</v>
      </c>
      <c r="E92" s="8" t="s">
        <v>722</v>
      </c>
      <c r="F92" s="7" t="s">
        <v>730</v>
      </c>
      <c r="G92" s="7" t="s">
        <v>780</v>
      </c>
      <c r="H92" s="7" t="s">
        <v>941</v>
      </c>
      <c r="I92" s="7" t="s">
        <v>792</v>
      </c>
      <c r="J92" s="7">
        <f t="shared" si="11"/>
        <v>5</v>
      </c>
      <c r="K92" s="9">
        <f t="shared" si="12"/>
        <v>60000</v>
      </c>
      <c r="L92" s="7">
        <v>3</v>
      </c>
      <c r="M92" s="9">
        <f t="shared" si="13"/>
        <v>180000</v>
      </c>
      <c r="N92" s="9">
        <f t="shared" si="14"/>
        <v>117000</v>
      </c>
      <c r="O92" s="7" t="s">
        <v>1006</v>
      </c>
      <c r="P92" s="10">
        <f t="shared" si="15"/>
        <v>0.1</v>
      </c>
      <c r="Q92" s="9">
        <f t="shared" si="16"/>
        <v>18000</v>
      </c>
      <c r="R92" s="9">
        <f t="shared" si="17"/>
        <v>162000</v>
      </c>
      <c r="S92" s="9" t="str">
        <f t="shared" si="18"/>
        <v>Profit</v>
      </c>
      <c r="T92" s="7" t="str">
        <f t="shared" si="19"/>
        <v>Jul</v>
      </c>
      <c r="U92" s="7">
        <f t="shared" si="20"/>
        <v>2025</v>
      </c>
      <c r="V92" s="7" t="str">
        <f t="shared" si="21"/>
        <v>45-50</v>
      </c>
    </row>
    <row r="93" spans="1:22" x14ac:dyDescent="0.3">
      <c r="A93" s="7" t="s">
        <v>110</v>
      </c>
      <c r="B93" s="8" t="s">
        <v>1114</v>
      </c>
      <c r="C93" s="8">
        <v>30</v>
      </c>
      <c r="D93" s="8" t="s">
        <v>720</v>
      </c>
      <c r="E93" s="8" t="s">
        <v>723</v>
      </c>
      <c r="F93" s="7" t="s">
        <v>734</v>
      </c>
      <c r="G93" s="7" t="s">
        <v>808</v>
      </c>
      <c r="H93" s="7" t="s">
        <v>802</v>
      </c>
      <c r="I93" s="7" t="s">
        <v>781</v>
      </c>
      <c r="J93" s="7">
        <f t="shared" si="11"/>
        <v>7</v>
      </c>
      <c r="K93" s="9">
        <f t="shared" si="12"/>
        <v>70000</v>
      </c>
      <c r="L93" s="7">
        <v>3</v>
      </c>
      <c r="M93" s="9">
        <f t="shared" si="13"/>
        <v>210000</v>
      </c>
      <c r="N93" s="9">
        <f t="shared" si="14"/>
        <v>126000</v>
      </c>
      <c r="O93" s="7" t="s">
        <v>1006</v>
      </c>
      <c r="P93" s="10">
        <f t="shared" si="15"/>
        <v>7.0000000000000007E-2</v>
      </c>
      <c r="Q93" s="9">
        <f t="shared" si="16"/>
        <v>14700.000000000002</v>
      </c>
      <c r="R93" s="9">
        <f t="shared" si="17"/>
        <v>195300</v>
      </c>
      <c r="S93" s="9" t="str">
        <f t="shared" si="18"/>
        <v>Profit</v>
      </c>
      <c r="T93" s="7" t="str">
        <f t="shared" si="19"/>
        <v>Jan</v>
      </c>
      <c r="U93" s="7">
        <f t="shared" si="20"/>
        <v>2025</v>
      </c>
      <c r="V93" s="7" t="str">
        <f t="shared" si="21"/>
        <v>30-35</v>
      </c>
    </row>
    <row r="94" spans="1:22" x14ac:dyDescent="0.3">
      <c r="A94" s="7" t="s">
        <v>111</v>
      </c>
      <c r="B94" s="8" t="s">
        <v>1115</v>
      </c>
      <c r="C94" s="8">
        <v>26</v>
      </c>
      <c r="D94" s="8" t="s">
        <v>721</v>
      </c>
      <c r="E94" s="8" t="s">
        <v>725</v>
      </c>
      <c r="F94" s="7" t="s">
        <v>728</v>
      </c>
      <c r="G94" s="7" t="s">
        <v>809</v>
      </c>
      <c r="H94" s="7" t="s">
        <v>842</v>
      </c>
      <c r="I94" s="7" t="s">
        <v>963</v>
      </c>
      <c r="J94" s="7">
        <f t="shared" si="11"/>
        <v>8</v>
      </c>
      <c r="K94" s="9">
        <f t="shared" si="12"/>
        <v>80000</v>
      </c>
      <c r="L94" s="7">
        <v>2</v>
      </c>
      <c r="M94" s="9">
        <f t="shared" si="13"/>
        <v>160000</v>
      </c>
      <c r="N94" s="9">
        <f t="shared" si="14"/>
        <v>96000</v>
      </c>
      <c r="O94" s="7" t="s">
        <v>1006</v>
      </c>
      <c r="P94" s="10">
        <f t="shared" si="15"/>
        <v>0.12</v>
      </c>
      <c r="Q94" s="9">
        <f t="shared" si="16"/>
        <v>19200</v>
      </c>
      <c r="R94" s="9">
        <f t="shared" si="17"/>
        <v>140800</v>
      </c>
      <c r="S94" s="9" t="str">
        <f t="shared" si="18"/>
        <v>Profit</v>
      </c>
      <c r="T94" s="7" t="str">
        <f t="shared" si="19"/>
        <v>May</v>
      </c>
      <c r="U94" s="7">
        <f t="shared" si="20"/>
        <v>2025</v>
      </c>
      <c r="V94" s="7" t="str">
        <f t="shared" si="21"/>
        <v>25-30</v>
      </c>
    </row>
    <row r="95" spans="1:22" x14ac:dyDescent="0.3">
      <c r="A95" s="7" t="s">
        <v>112</v>
      </c>
      <c r="B95" s="8" t="s">
        <v>1116</v>
      </c>
      <c r="C95" s="8">
        <v>18</v>
      </c>
      <c r="D95" s="8" t="s">
        <v>720</v>
      </c>
      <c r="E95" s="8" t="s">
        <v>722</v>
      </c>
      <c r="F95" s="7" t="s">
        <v>735</v>
      </c>
      <c r="G95" s="7" t="s">
        <v>810</v>
      </c>
      <c r="H95" s="7" t="s">
        <v>959</v>
      </c>
      <c r="I95" s="7" t="s">
        <v>949</v>
      </c>
      <c r="J95" s="7">
        <f t="shared" si="11"/>
        <v>5</v>
      </c>
      <c r="K95" s="9">
        <f t="shared" si="12"/>
        <v>60000</v>
      </c>
      <c r="L95" s="7">
        <v>1</v>
      </c>
      <c r="M95" s="9">
        <f t="shared" si="13"/>
        <v>60000</v>
      </c>
      <c r="N95" s="9">
        <f t="shared" si="14"/>
        <v>39000</v>
      </c>
      <c r="O95" s="7" t="s">
        <v>1006</v>
      </c>
      <c r="P95" s="10">
        <f t="shared" si="15"/>
        <v>0.1</v>
      </c>
      <c r="Q95" s="9">
        <f t="shared" si="16"/>
        <v>6000</v>
      </c>
      <c r="R95" s="9">
        <f t="shared" si="17"/>
        <v>54000</v>
      </c>
      <c r="S95" s="9" t="str">
        <f t="shared" si="18"/>
        <v>Profit</v>
      </c>
      <c r="T95" s="7" t="str">
        <f t="shared" si="19"/>
        <v>Jun</v>
      </c>
      <c r="U95" s="7">
        <f t="shared" si="20"/>
        <v>2025</v>
      </c>
      <c r="V95" s="7" t="str">
        <f t="shared" si="21"/>
        <v>15-20</v>
      </c>
    </row>
    <row r="96" spans="1:22" x14ac:dyDescent="0.3">
      <c r="A96" s="7" t="s">
        <v>113</v>
      </c>
      <c r="B96" s="8" t="s">
        <v>1117</v>
      </c>
      <c r="C96" s="8">
        <v>52</v>
      </c>
      <c r="D96" s="8" t="s">
        <v>721</v>
      </c>
      <c r="E96" s="8" t="s">
        <v>724</v>
      </c>
      <c r="F96" s="7" t="s">
        <v>735</v>
      </c>
      <c r="G96" s="7" t="s">
        <v>811</v>
      </c>
      <c r="H96" s="7" t="s">
        <v>969</v>
      </c>
      <c r="I96" s="7" t="s">
        <v>987</v>
      </c>
      <c r="J96" s="7">
        <f t="shared" si="11"/>
        <v>10</v>
      </c>
      <c r="K96" s="9">
        <f t="shared" si="12"/>
        <v>120000</v>
      </c>
      <c r="L96" s="7">
        <v>2</v>
      </c>
      <c r="M96" s="9">
        <f t="shared" si="13"/>
        <v>240000</v>
      </c>
      <c r="N96" s="9">
        <f t="shared" si="14"/>
        <v>156000</v>
      </c>
      <c r="O96" s="7" t="s">
        <v>1006</v>
      </c>
      <c r="P96" s="10">
        <f t="shared" si="15"/>
        <v>0.15</v>
      </c>
      <c r="Q96" s="9">
        <f t="shared" si="16"/>
        <v>36000</v>
      </c>
      <c r="R96" s="9">
        <f t="shared" si="17"/>
        <v>204000</v>
      </c>
      <c r="S96" s="9" t="str">
        <f t="shared" si="18"/>
        <v>Profit</v>
      </c>
      <c r="T96" s="7" t="str">
        <f t="shared" si="19"/>
        <v>Aug</v>
      </c>
      <c r="U96" s="7">
        <f t="shared" si="20"/>
        <v>2025</v>
      </c>
      <c r="V96" s="7" t="str">
        <f t="shared" si="21"/>
        <v>50-55</v>
      </c>
    </row>
    <row r="97" spans="1:22" x14ac:dyDescent="0.3">
      <c r="A97" s="7" t="s">
        <v>114</v>
      </c>
      <c r="B97" s="8" t="s">
        <v>1118</v>
      </c>
      <c r="C97" s="8">
        <v>50</v>
      </c>
      <c r="D97" s="8" t="s">
        <v>721</v>
      </c>
      <c r="E97" s="8" t="s">
        <v>724</v>
      </c>
      <c r="F97" s="7" t="s">
        <v>727</v>
      </c>
      <c r="G97" s="7" t="s">
        <v>806</v>
      </c>
      <c r="H97" s="7" t="s">
        <v>825</v>
      </c>
      <c r="I97" s="7" t="s">
        <v>877</v>
      </c>
      <c r="J97" s="7">
        <f t="shared" si="11"/>
        <v>10</v>
      </c>
      <c r="K97" s="9">
        <f t="shared" si="12"/>
        <v>120000</v>
      </c>
      <c r="L97" s="7">
        <v>2</v>
      </c>
      <c r="M97" s="9">
        <f t="shared" si="13"/>
        <v>240000</v>
      </c>
      <c r="N97" s="9">
        <f t="shared" si="14"/>
        <v>156000</v>
      </c>
      <c r="O97" s="7" t="s">
        <v>1006</v>
      </c>
      <c r="P97" s="10">
        <f t="shared" si="15"/>
        <v>0.15</v>
      </c>
      <c r="Q97" s="9">
        <f t="shared" si="16"/>
        <v>36000</v>
      </c>
      <c r="R97" s="9">
        <f t="shared" si="17"/>
        <v>204000</v>
      </c>
      <c r="S97" s="9" t="str">
        <f t="shared" si="18"/>
        <v>Profit</v>
      </c>
      <c r="T97" s="7" t="str">
        <f t="shared" si="19"/>
        <v>Feb</v>
      </c>
      <c r="U97" s="7">
        <f t="shared" si="20"/>
        <v>2025</v>
      </c>
      <c r="V97" s="7" t="str">
        <f t="shared" si="21"/>
        <v>50-55</v>
      </c>
    </row>
    <row r="98" spans="1:22" x14ac:dyDescent="0.3">
      <c r="A98" s="7" t="s">
        <v>115</v>
      </c>
      <c r="B98" s="8" t="s">
        <v>1119</v>
      </c>
      <c r="C98" s="8">
        <v>26</v>
      </c>
      <c r="D98" s="8" t="s">
        <v>720</v>
      </c>
      <c r="E98" s="8" t="s">
        <v>723</v>
      </c>
      <c r="F98" s="7" t="s">
        <v>727</v>
      </c>
      <c r="G98" s="7" t="s">
        <v>812</v>
      </c>
      <c r="H98" s="7" t="s">
        <v>873</v>
      </c>
      <c r="I98" s="7" t="s">
        <v>917</v>
      </c>
      <c r="J98" s="7">
        <f t="shared" si="11"/>
        <v>7</v>
      </c>
      <c r="K98" s="9">
        <f t="shared" si="12"/>
        <v>70000</v>
      </c>
      <c r="L98" s="7">
        <v>4</v>
      </c>
      <c r="M98" s="9">
        <f t="shared" si="13"/>
        <v>280000</v>
      </c>
      <c r="N98" s="9">
        <f t="shared" si="14"/>
        <v>168000</v>
      </c>
      <c r="O98" s="7" t="s">
        <v>1006</v>
      </c>
      <c r="P98" s="10">
        <f t="shared" si="15"/>
        <v>7.0000000000000007E-2</v>
      </c>
      <c r="Q98" s="9">
        <f t="shared" si="16"/>
        <v>19600.000000000004</v>
      </c>
      <c r="R98" s="9">
        <f t="shared" si="17"/>
        <v>260400</v>
      </c>
      <c r="S98" s="9" t="str">
        <f t="shared" si="18"/>
        <v>Profit</v>
      </c>
      <c r="T98" s="7" t="str">
        <f t="shared" si="19"/>
        <v>Jul</v>
      </c>
      <c r="U98" s="7">
        <f t="shared" si="20"/>
        <v>2025</v>
      </c>
      <c r="V98" s="7" t="str">
        <f t="shared" si="21"/>
        <v>25-30</v>
      </c>
    </row>
    <row r="99" spans="1:22" x14ac:dyDescent="0.3">
      <c r="A99" s="7" t="s">
        <v>116</v>
      </c>
      <c r="B99" s="8" t="s">
        <v>1120</v>
      </c>
      <c r="C99" s="8">
        <v>24</v>
      </c>
      <c r="D99" s="8" t="s">
        <v>721</v>
      </c>
      <c r="E99" s="8" t="s">
        <v>725</v>
      </c>
      <c r="F99" s="7" t="s">
        <v>735</v>
      </c>
      <c r="G99" s="7" t="s">
        <v>813</v>
      </c>
      <c r="H99" s="7" t="s">
        <v>886</v>
      </c>
      <c r="I99" s="7" t="s">
        <v>884</v>
      </c>
      <c r="J99" s="7">
        <f t="shared" si="11"/>
        <v>8</v>
      </c>
      <c r="K99" s="9">
        <f t="shared" si="12"/>
        <v>80000</v>
      </c>
      <c r="L99" s="7">
        <v>2</v>
      </c>
      <c r="M99" s="9">
        <f t="shared" si="13"/>
        <v>160000</v>
      </c>
      <c r="N99" s="9">
        <f t="shared" si="14"/>
        <v>96000</v>
      </c>
      <c r="O99" s="7" t="s">
        <v>1007</v>
      </c>
      <c r="P99" s="10">
        <f t="shared" si="15"/>
        <v>0</v>
      </c>
      <c r="Q99" s="9">
        <f t="shared" si="16"/>
        <v>0</v>
      </c>
      <c r="R99" s="9">
        <f t="shared" si="17"/>
        <v>5000</v>
      </c>
      <c r="S99" s="9" t="str">
        <f t="shared" si="18"/>
        <v>Loss</v>
      </c>
      <c r="T99" s="7" t="str">
        <f t="shared" si="19"/>
        <v>Mar</v>
      </c>
      <c r="U99" s="7">
        <f t="shared" si="20"/>
        <v>2025</v>
      </c>
      <c r="V99" s="7" t="str">
        <f t="shared" si="21"/>
        <v>20-25</v>
      </c>
    </row>
    <row r="100" spans="1:22" x14ac:dyDescent="0.3">
      <c r="A100" s="7" t="s">
        <v>117</v>
      </c>
      <c r="B100" s="8" t="s">
        <v>1121</v>
      </c>
      <c r="C100" s="8">
        <v>24</v>
      </c>
      <c r="D100" s="8" t="s">
        <v>720</v>
      </c>
      <c r="E100" s="8" t="s">
        <v>724</v>
      </c>
      <c r="F100" s="7" t="s">
        <v>1736</v>
      </c>
      <c r="G100" s="7" t="s">
        <v>814</v>
      </c>
      <c r="H100" s="7" t="s">
        <v>807</v>
      </c>
      <c r="I100" s="7" t="s">
        <v>878</v>
      </c>
      <c r="J100" s="7">
        <f t="shared" si="11"/>
        <v>10</v>
      </c>
      <c r="K100" s="9">
        <f t="shared" si="12"/>
        <v>120000</v>
      </c>
      <c r="L100" s="7">
        <v>3</v>
      </c>
      <c r="M100" s="9">
        <f t="shared" si="13"/>
        <v>360000</v>
      </c>
      <c r="N100" s="9">
        <f t="shared" si="14"/>
        <v>234000</v>
      </c>
      <c r="O100" s="7" t="s">
        <v>1006</v>
      </c>
      <c r="P100" s="10">
        <f t="shared" si="15"/>
        <v>0.15</v>
      </c>
      <c r="Q100" s="9">
        <f t="shared" si="16"/>
        <v>54000</v>
      </c>
      <c r="R100" s="9">
        <f t="shared" si="17"/>
        <v>306000</v>
      </c>
      <c r="S100" s="9" t="str">
        <f t="shared" si="18"/>
        <v>Profit</v>
      </c>
      <c r="T100" s="7" t="str">
        <f t="shared" si="19"/>
        <v>Jan</v>
      </c>
      <c r="U100" s="7">
        <f t="shared" si="20"/>
        <v>2025</v>
      </c>
      <c r="V100" s="7" t="str">
        <f t="shared" si="21"/>
        <v>20-25</v>
      </c>
    </row>
    <row r="101" spans="1:22" x14ac:dyDescent="0.3">
      <c r="A101" s="7" t="s">
        <v>118</v>
      </c>
      <c r="B101" s="8" t="s">
        <v>1122</v>
      </c>
      <c r="C101" s="8">
        <v>21</v>
      </c>
      <c r="D101" s="8" t="s">
        <v>721</v>
      </c>
      <c r="E101" s="8" t="s">
        <v>726</v>
      </c>
      <c r="F101" s="7" t="s">
        <v>1730</v>
      </c>
      <c r="G101" s="7" t="s">
        <v>815</v>
      </c>
      <c r="H101" s="7" t="s">
        <v>749</v>
      </c>
      <c r="I101" s="7" t="s">
        <v>746</v>
      </c>
      <c r="J101" s="7">
        <f t="shared" si="11"/>
        <v>4</v>
      </c>
      <c r="K101" s="9">
        <f t="shared" si="12"/>
        <v>18000</v>
      </c>
      <c r="L101" s="7">
        <v>3</v>
      </c>
      <c r="M101" s="9">
        <f t="shared" si="13"/>
        <v>54000</v>
      </c>
      <c r="N101" s="9">
        <f t="shared" si="14"/>
        <v>27000</v>
      </c>
      <c r="O101" s="7" t="s">
        <v>1006</v>
      </c>
      <c r="P101" s="10">
        <f t="shared" si="15"/>
        <v>0.05</v>
      </c>
      <c r="Q101" s="9">
        <f t="shared" si="16"/>
        <v>2700</v>
      </c>
      <c r="R101" s="9">
        <f t="shared" si="17"/>
        <v>51300</v>
      </c>
      <c r="S101" s="9" t="str">
        <f t="shared" si="18"/>
        <v>Profit</v>
      </c>
      <c r="T101" s="7" t="str">
        <f t="shared" si="19"/>
        <v>Apr</v>
      </c>
      <c r="U101" s="7">
        <f t="shared" si="20"/>
        <v>2025</v>
      </c>
      <c r="V101" s="7" t="str">
        <f t="shared" si="21"/>
        <v>20-25</v>
      </c>
    </row>
    <row r="102" spans="1:22" x14ac:dyDescent="0.3">
      <c r="A102" s="7" t="s">
        <v>119</v>
      </c>
      <c r="B102" s="8" t="s">
        <v>1123</v>
      </c>
      <c r="C102" s="8">
        <v>18</v>
      </c>
      <c r="D102" s="8" t="s">
        <v>720</v>
      </c>
      <c r="E102" s="8" t="s">
        <v>723</v>
      </c>
      <c r="F102" s="7" t="s">
        <v>1730</v>
      </c>
      <c r="G102" s="7" t="s">
        <v>816</v>
      </c>
      <c r="H102" s="7" t="s">
        <v>833</v>
      </c>
      <c r="I102" s="7" t="s">
        <v>800</v>
      </c>
      <c r="J102" s="7">
        <f t="shared" si="11"/>
        <v>7</v>
      </c>
      <c r="K102" s="9">
        <f t="shared" si="12"/>
        <v>70000</v>
      </c>
      <c r="L102" s="7">
        <v>4</v>
      </c>
      <c r="M102" s="9">
        <f t="shared" si="13"/>
        <v>280000</v>
      </c>
      <c r="N102" s="9">
        <f t="shared" si="14"/>
        <v>168000</v>
      </c>
      <c r="O102" s="7" t="s">
        <v>1007</v>
      </c>
      <c r="P102" s="10">
        <f t="shared" si="15"/>
        <v>0</v>
      </c>
      <c r="Q102" s="9">
        <f t="shared" si="16"/>
        <v>0</v>
      </c>
      <c r="R102" s="9">
        <f t="shared" si="17"/>
        <v>5000</v>
      </c>
      <c r="S102" s="9" t="str">
        <f t="shared" si="18"/>
        <v>Loss</v>
      </c>
      <c r="T102" s="7" t="str">
        <f t="shared" si="19"/>
        <v>May</v>
      </c>
      <c r="U102" s="7">
        <f t="shared" si="20"/>
        <v>2025</v>
      </c>
      <c r="V102" s="7" t="str">
        <f t="shared" si="21"/>
        <v>15-20</v>
      </c>
    </row>
    <row r="103" spans="1:22" x14ac:dyDescent="0.3">
      <c r="A103" s="7" t="s">
        <v>120</v>
      </c>
      <c r="B103" s="8" t="s">
        <v>1124</v>
      </c>
      <c r="C103" s="8">
        <v>22</v>
      </c>
      <c r="D103" s="8" t="s">
        <v>720</v>
      </c>
      <c r="E103" s="8" t="s">
        <v>724</v>
      </c>
      <c r="F103" s="7" t="s">
        <v>729</v>
      </c>
      <c r="G103" s="7" t="s">
        <v>775</v>
      </c>
      <c r="H103" s="7" t="s">
        <v>784</v>
      </c>
      <c r="I103" s="7" t="s">
        <v>964</v>
      </c>
      <c r="J103" s="7">
        <f t="shared" si="11"/>
        <v>10</v>
      </c>
      <c r="K103" s="9">
        <f t="shared" si="12"/>
        <v>120000</v>
      </c>
      <c r="L103" s="7">
        <v>3</v>
      </c>
      <c r="M103" s="9">
        <f t="shared" si="13"/>
        <v>360000</v>
      </c>
      <c r="N103" s="9">
        <f t="shared" si="14"/>
        <v>234000</v>
      </c>
      <c r="O103" s="7" t="s">
        <v>1006</v>
      </c>
      <c r="P103" s="10">
        <f t="shared" si="15"/>
        <v>0.15</v>
      </c>
      <c r="Q103" s="9">
        <f t="shared" si="16"/>
        <v>54000</v>
      </c>
      <c r="R103" s="9">
        <f t="shared" si="17"/>
        <v>306000</v>
      </c>
      <c r="S103" s="9" t="str">
        <f t="shared" si="18"/>
        <v>Profit</v>
      </c>
      <c r="T103" s="7" t="str">
        <f t="shared" si="19"/>
        <v>May</v>
      </c>
      <c r="U103" s="7">
        <f t="shared" si="20"/>
        <v>2025</v>
      </c>
      <c r="V103" s="7" t="str">
        <f t="shared" si="21"/>
        <v>20-25</v>
      </c>
    </row>
    <row r="104" spans="1:22" x14ac:dyDescent="0.3">
      <c r="A104" s="7" t="s">
        <v>121</v>
      </c>
      <c r="B104" s="8" t="s">
        <v>1125</v>
      </c>
      <c r="C104" s="8">
        <v>30</v>
      </c>
      <c r="D104" s="8" t="s">
        <v>721</v>
      </c>
      <c r="E104" s="8" t="s">
        <v>724</v>
      </c>
      <c r="F104" s="7" t="s">
        <v>727</v>
      </c>
      <c r="G104" s="7" t="s">
        <v>817</v>
      </c>
      <c r="H104" s="7" t="s">
        <v>765</v>
      </c>
      <c r="I104" s="7" t="s">
        <v>818</v>
      </c>
      <c r="J104" s="7">
        <f t="shared" si="11"/>
        <v>10</v>
      </c>
      <c r="K104" s="9">
        <f t="shared" si="12"/>
        <v>120000</v>
      </c>
      <c r="L104" s="7">
        <v>2</v>
      </c>
      <c r="M104" s="9">
        <f t="shared" si="13"/>
        <v>240000</v>
      </c>
      <c r="N104" s="9">
        <f t="shared" si="14"/>
        <v>156000</v>
      </c>
      <c r="O104" s="7" t="s">
        <v>1007</v>
      </c>
      <c r="P104" s="10">
        <f t="shared" si="15"/>
        <v>0</v>
      </c>
      <c r="Q104" s="9">
        <f t="shared" si="16"/>
        <v>0</v>
      </c>
      <c r="R104" s="9">
        <f t="shared" si="17"/>
        <v>5000</v>
      </c>
      <c r="S104" s="9" t="str">
        <f t="shared" si="18"/>
        <v>Loss</v>
      </c>
      <c r="T104" s="7" t="str">
        <f t="shared" si="19"/>
        <v>May</v>
      </c>
      <c r="U104" s="7">
        <f t="shared" si="20"/>
        <v>2025</v>
      </c>
      <c r="V104" s="7" t="str">
        <f t="shared" si="21"/>
        <v>30-35</v>
      </c>
    </row>
    <row r="105" spans="1:22" x14ac:dyDescent="0.3">
      <c r="A105" s="7" t="s">
        <v>122</v>
      </c>
      <c r="B105" s="8" t="s">
        <v>1126</v>
      </c>
      <c r="C105" s="8">
        <v>30</v>
      </c>
      <c r="D105" s="8" t="s">
        <v>721</v>
      </c>
      <c r="E105" s="8" t="s">
        <v>726</v>
      </c>
      <c r="F105" s="7" t="s">
        <v>732</v>
      </c>
      <c r="G105" s="7" t="s">
        <v>775</v>
      </c>
      <c r="H105" s="7" t="s">
        <v>800</v>
      </c>
      <c r="I105" s="7" t="s">
        <v>834</v>
      </c>
      <c r="J105" s="7">
        <f t="shared" si="11"/>
        <v>4</v>
      </c>
      <c r="K105" s="9">
        <f t="shared" si="12"/>
        <v>18000</v>
      </c>
      <c r="L105" s="7">
        <v>2</v>
      </c>
      <c r="M105" s="9">
        <f t="shared" si="13"/>
        <v>36000</v>
      </c>
      <c r="N105" s="9">
        <f t="shared" si="14"/>
        <v>18000</v>
      </c>
      <c r="O105" s="7" t="s">
        <v>1006</v>
      </c>
      <c r="P105" s="10">
        <f t="shared" si="15"/>
        <v>0.05</v>
      </c>
      <c r="Q105" s="9">
        <f t="shared" si="16"/>
        <v>1800</v>
      </c>
      <c r="R105" s="9">
        <f t="shared" si="17"/>
        <v>34200</v>
      </c>
      <c r="S105" s="9" t="str">
        <f t="shared" si="18"/>
        <v>Profit</v>
      </c>
      <c r="T105" s="7" t="str">
        <f t="shared" si="19"/>
        <v>May</v>
      </c>
      <c r="U105" s="7">
        <f t="shared" si="20"/>
        <v>2025</v>
      </c>
      <c r="V105" s="7" t="str">
        <f t="shared" si="21"/>
        <v>30-35</v>
      </c>
    </row>
    <row r="106" spans="1:22" x14ac:dyDescent="0.3">
      <c r="A106" s="7" t="s">
        <v>123</v>
      </c>
      <c r="B106" s="8" t="s">
        <v>1127</v>
      </c>
      <c r="C106" s="8">
        <v>29</v>
      </c>
      <c r="D106" s="8" t="s">
        <v>720</v>
      </c>
      <c r="E106" s="8" t="s">
        <v>722</v>
      </c>
      <c r="F106" s="7" t="s">
        <v>728</v>
      </c>
      <c r="G106" s="7" t="s">
        <v>762</v>
      </c>
      <c r="H106" s="7" t="s">
        <v>740</v>
      </c>
      <c r="I106" s="7" t="s">
        <v>956</v>
      </c>
      <c r="J106" s="7">
        <f t="shared" si="11"/>
        <v>5</v>
      </c>
      <c r="K106" s="9">
        <f t="shared" si="12"/>
        <v>60000</v>
      </c>
      <c r="L106" s="7">
        <v>2</v>
      </c>
      <c r="M106" s="9">
        <f t="shared" si="13"/>
        <v>120000</v>
      </c>
      <c r="N106" s="9">
        <f t="shared" si="14"/>
        <v>78000</v>
      </c>
      <c r="O106" s="7" t="s">
        <v>1007</v>
      </c>
      <c r="P106" s="10">
        <f t="shared" si="15"/>
        <v>0</v>
      </c>
      <c r="Q106" s="9">
        <f t="shared" si="16"/>
        <v>0</v>
      </c>
      <c r="R106" s="9">
        <f t="shared" si="17"/>
        <v>5000</v>
      </c>
      <c r="S106" s="9" t="str">
        <f t="shared" si="18"/>
        <v>Loss</v>
      </c>
      <c r="T106" s="7" t="str">
        <f t="shared" si="19"/>
        <v>Mar</v>
      </c>
      <c r="U106" s="7">
        <f t="shared" si="20"/>
        <v>2025</v>
      </c>
      <c r="V106" s="7" t="str">
        <f t="shared" si="21"/>
        <v>25-30</v>
      </c>
    </row>
    <row r="107" spans="1:22" x14ac:dyDescent="0.3">
      <c r="A107" s="7" t="s">
        <v>124</v>
      </c>
      <c r="B107" s="8" t="s">
        <v>1128</v>
      </c>
      <c r="C107" s="8">
        <v>25</v>
      </c>
      <c r="D107" s="8" t="s">
        <v>720</v>
      </c>
      <c r="E107" s="8" t="s">
        <v>725</v>
      </c>
      <c r="F107" s="7" t="s">
        <v>732</v>
      </c>
      <c r="G107" s="7" t="s">
        <v>818</v>
      </c>
      <c r="H107" s="7" t="s">
        <v>910</v>
      </c>
      <c r="I107" s="7" t="s">
        <v>757</v>
      </c>
      <c r="J107" s="7">
        <f t="shared" si="11"/>
        <v>8</v>
      </c>
      <c r="K107" s="9">
        <f t="shared" si="12"/>
        <v>80000</v>
      </c>
      <c r="L107" s="7">
        <v>2</v>
      </c>
      <c r="M107" s="9">
        <f t="shared" si="13"/>
        <v>160000</v>
      </c>
      <c r="N107" s="9">
        <f t="shared" si="14"/>
        <v>96000</v>
      </c>
      <c r="O107" s="7" t="s">
        <v>1007</v>
      </c>
      <c r="P107" s="10">
        <f t="shared" si="15"/>
        <v>0</v>
      </c>
      <c r="Q107" s="9">
        <f t="shared" si="16"/>
        <v>0</v>
      </c>
      <c r="R107" s="9">
        <f t="shared" si="17"/>
        <v>5000</v>
      </c>
      <c r="S107" s="9" t="str">
        <f t="shared" si="18"/>
        <v>Loss</v>
      </c>
      <c r="T107" s="7" t="str">
        <f t="shared" si="19"/>
        <v>Jun</v>
      </c>
      <c r="U107" s="7">
        <f t="shared" si="20"/>
        <v>2025</v>
      </c>
      <c r="V107" s="7" t="str">
        <f t="shared" si="21"/>
        <v>25-30</v>
      </c>
    </row>
    <row r="108" spans="1:22" x14ac:dyDescent="0.3">
      <c r="A108" s="7" t="s">
        <v>125</v>
      </c>
      <c r="B108" s="8" t="s">
        <v>1129</v>
      </c>
      <c r="C108" s="8">
        <v>51</v>
      </c>
      <c r="D108" s="8" t="s">
        <v>720</v>
      </c>
      <c r="E108" s="8" t="s">
        <v>723</v>
      </c>
      <c r="F108" s="7" t="s">
        <v>1730</v>
      </c>
      <c r="G108" s="7" t="s">
        <v>795</v>
      </c>
      <c r="H108" s="7" t="s">
        <v>934</v>
      </c>
      <c r="I108" s="7" t="s">
        <v>831</v>
      </c>
      <c r="J108" s="7">
        <f t="shared" si="11"/>
        <v>7</v>
      </c>
      <c r="K108" s="9">
        <f t="shared" si="12"/>
        <v>70000</v>
      </c>
      <c r="L108" s="7">
        <v>2</v>
      </c>
      <c r="M108" s="9">
        <f t="shared" si="13"/>
        <v>140000</v>
      </c>
      <c r="N108" s="9">
        <f t="shared" si="14"/>
        <v>84000</v>
      </c>
      <c r="O108" s="7" t="s">
        <v>1007</v>
      </c>
      <c r="P108" s="10">
        <f t="shared" si="15"/>
        <v>0</v>
      </c>
      <c r="Q108" s="9">
        <f t="shared" si="16"/>
        <v>0</v>
      </c>
      <c r="R108" s="9">
        <f t="shared" si="17"/>
        <v>5000</v>
      </c>
      <c r="S108" s="9" t="str">
        <f t="shared" si="18"/>
        <v>Loss</v>
      </c>
      <c r="T108" s="7" t="str">
        <f t="shared" si="19"/>
        <v>Jan</v>
      </c>
      <c r="U108" s="7">
        <f t="shared" si="20"/>
        <v>2025</v>
      </c>
      <c r="V108" s="7" t="str">
        <f t="shared" si="21"/>
        <v>50-55</v>
      </c>
    </row>
    <row r="109" spans="1:22" x14ac:dyDescent="0.3">
      <c r="A109" s="7" t="s">
        <v>126</v>
      </c>
      <c r="B109" s="8" t="s">
        <v>1130</v>
      </c>
      <c r="C109" s="8">
        <v>56</v>
      </c>
      <c r="D109" s="8" t="s">
        <v>721</v>
      </c>
      <c r="E109" s="8" t="s">
        <v>723</v>
      </c>
      <c r="F109" s="7" t="s">
        <v>728</v>
      </c>
      <c r="G109" s="7" t="s">
        <v>819</v>
      </c>
      <c r="H109" s="7" t="s">
        <v>871</v>
      </c>
      <c r="I109" s="7" t="s">
        <v>972</v>
      </c>
      <c r="J109" s="7">
        <f t="shared" si="11"/>
        <v>7</v>
      </c>
      <c r="K109" s="9">
        <f t="shared" si="12"/>
        <v>70000</v>
      </c>
      <c r="L109" s="7">
        <v>3</v>
      </c>
      <c r="M109" s="9">
        <f t="shared" si="13"/>
        <v>210000</v>
      </c>
      <c r="N109" s="9">
        <f t="shared" si="14"/>
        <v>126000</v>
      </c>
      <c r="O109" s="7" t="s">
        <v>1006</v>
      </c>
      <c r="P109" s="10">
        <f t="shared" si="15"/>
        <v>7.0000000000000007E-2</v>
      </c>
      <c r="Q109" s="9">
        <f t="shared" si="16"/>
        <v>14700.000000000002</v>
      </c>
      <c r="R109" s="9">
        <f t="shared" si="17"/>
        <v>195300</v>
      </c>
      <c r="S109" s="9" t="str">
        <f t="shared" si="18"/>
        <v>Profit</v>
      </c>
      <c r="T109" s="7" t="str">
        <f t="shared" si="19"/>
        <v>Jan</v>
      </c>
      <c r="U109" s="7">
        <f t="shared" si="20"/>
        <v>2025</v>
      </c>
      <c r="V109" s="7" t="str">
        <f t="shared" si="21"/>
        <v>55-60</v>
      </c>
    </row>
    <row r="110" spans="1:22" x14ac:dyDescent="0.3">
      <c r="A110" s="7" t="s">
        <v>127</v>
      </c>
      <c r="B110" s="8" t="s">
        <v>1131</v>
      </c>
      <c r="C110" s="8">
        <v>21</v>
      </c>
      <c r="D110" s="8" t="s">
        <v>721</v>
      </c>
      <c r="E110" s="8" t="s">
        <v>726</v>
      </c>
      <c r="F110" s="7" t="s">
        <v>1730</v>
      </c>
      <c r="G110" s="7" t="s">
        <v>820</v>
      </c>
      <c r="H110" s="7" t="s">
        <v>824</v>
      </c>
      <c r="I110" s="7" t="s">
        <v>783</v>
      </c>
      <c r="J110" s="7">
        <f t="shared" si="11"/>
        <v>4</v>
      </c>
      <c r="K110" s="9">
        <f t="shared" si="12"/>
        <v>18000</v>
      </c>
      <c r="L110" s="7">
        <v>3</v>
      </c>
      <c r="M110" s="9">
        <f t="shared" si="13"/>
        <v>54000</v>
      </c>
      <c r="N110" s="9">
        <f t="shared" si="14"/>
        <v>27000</v>
      </c>
      <c r="O110" s="7" t="s">
        <v>1007</v>
      </c>
      <c r="P110" s="10">
        <f t="shared" si="15"/>
        <v>0</v>
      </c>
      <c r="Q110" s="9">
        <f t="shared" si="16"/>
        <v>0</v>
      </c>
      <c r="R110" s="9">
        <f t="shared" si="17"/>
        <v>5000</v>
      </c>
      <c r="S110" s="9" t="str">
        <f t="shared" si="18"/>
        <v>Loss</v>
      </c>
      <c r="T110" s="7" t="str">
        <f t="shared" si="19"/>
        <v>May</v>
      </c>
      <c r="U110" s="7">
        <f t="shared" si="20"/>
        <v>2025</v>
      </c>
      <c r="V110" s="7" t="str">
        <f t="shared" si="21"/>
        <v>20-25</v>
      </c>
    </row>
    <row r="111" spans="1:22" x14ac:dyDescent="0.3">
      <c r="A111" s="7" t="s">
        <v>128</v>
      </c>
      <c r="B111" s="8" t="s">
        <v>1132</v>
      </c>
      <c r="C111" s="8">
        <v>50</v>
      </c>
      <c r="D111" s="8" t="s">
        <v>720</v>
      </c>
      <c r="E111" s="8" t="s">
        <v>723</v>
      </c>
      <c r="F111" s="7" t="s">
        <v>1730</v>
      </c>
      <c r="G111" s="7" t="s">
        <v>818</v>
      </c>
      <c r="H111" s="7" t="s">
        <v>924</v>
      </c>
      <c r="I111" s="7" t="s">
        <v>787</v>
      </c>
      <c r="J111" s="7">
        <f t="shared" si="11"/>
        <v>7</v>
      </c>
      <c r="K111" s="9">
        <f t="shared" si="12"/>
        <v>70000</v>
      </c>
      <c r="L111" s="7">
        <v>2</v>
      </c>
      <c r="M111" s="9">
        <f t="shared" si="13"/>
        <v>140000</v>
      </c>
      <c r="N111" s="9">
        <f t="shared" si="14"/>
        <v>84000</v>
      </c>
      <c r="O111" s="7" t="s">
        <v>1006</v>
      </c>
      <c r="P111" s="10">
        <f t="shared" si="15"/>
        <v>7.0000000000000007E-2</v>
      </c>
      <c r="Q111" s="9">
        <f t="shared" si="16"/>
        <v>9800.0000000000018</v>
      </c>
      <c r="R111" s="9">
        <f t="shared" si="17"/>
        <v>130200</v>
      </c>
      <c r="S111" s="9" t="str">
        <f t="shared" si="18"/>
        <v>Profit</v>
      </c>
      <c r="T111" s="7" t="str">
        <f t="shared" si="19"/>
        <v>Jun</v>
      </c>
      <c r="U111" s="7">
        <f t="shared" si="20"/>
        <v>2025</v>
      </c>
      <c r="V111" s="7" t="str">
        <f t="shared" si="21"/>
        <v>50-55</v>
      </c>
    </row>
    <row r="112" spans="1:22" x14ac:dyDescent="0.3">
      <c r="A112" s="7" t="s">
        <v>129</v>
      </c>
      <c r="B112" s="8" t="s">
        <v>1133</v>
      </c>
      <c r="C112" s="8">
        <v>54</v>
      </c>
      <c r="D112" s="8" t="s">
        <v>721</v>
      </c>
      <c r="E112" s="8" t="s">
        <v>724</v>
      </c>
      <c r="F112" s="7" t="s">
        <v>733</v>
      </c>
      <c r="G112" s="7" t="s">
        <v>783</v>
      </c>
      <c r="H112" s="7" t="s">
        <v>916</v>
      </c>
      <c r="I112" s="7" t="s">
        <v>843</v>
      </c>
      <c r="J112" s="7">
        <f t="shared" si="11"/>
        <v>10</v>
      </c>
      <c r="K112" s="9">
        <f t="shared" si="12"/>
        <v>120000</v>
      </c>
      <c r="L112" s="7">
        <v>4</v>
      </c>
      <c r="M112" s="9">
        <f t="shared" si="13"/>
        <v>480000</v>
      </c>
      <c r="N112" s="9">
        <f t="shared" si="14"/>
        <v>312000</v>
      </c>
      <c r="O112" s="7" t="s">
        <v>1007</v>
      </c>
      <c r="P112" s="10">
        <f t="shared" si="15"/>
        <v>0</v>
      </c>
      <c r="Q112" s="9">
        <f t="shared" si="16"/>
        <v>0</v>
      </c>
      <c r="R112" s="9">
        <f t="shared" si="17"/>
        <v>5000</v>
      </c>
      <c r="S112" s="9" t="str">
        <f t="shared" si="18"/>
        <v>Loss</v>
      </c>
      <c r="T112" s="7" t="str">
        <f t="shared" si="19"/>
        <v>Jun</v>
      </c>
      <c r="U112" s="7">
        <f t="shared" si="20"/>
        <v>2025</v>
      </c>
      <c r="V112" s="7" t="str">
        <f t="shared" si="21"/>
        <v>50-55</v>
      </c>
    </row>
    <row r="113" spans="1:22" x14ac:dyDescent="0.3">
      <c r="A113" s="7" t="s">
        <v>130</v>
      </c>
      <c r="B113" s="8" t="s">
        <v>1134</v>
      </c>
      <c r="C113" s="8">
        <v>41</v>
      </c>
      <c r="D113" s="8" t="s">
        <v>720</v>
      </c>
      <c r="E113" s="8" t="s">
        <v>722</v>
      </c>
      <c r="F113" s="7" t="s">
        <v>730</v>
      </c>
      <c r="G113" s="7" t="s">
        <v>821</v>
      </c>
      <c r="H113" s="7" t="s">
        <v>902</v>
      </c>
      <c r="I113" s="7" t="s">
        <v>944</v>
      </c>
      <c r="J113" s="7">
        <f t="shared" si="11"/>
        <v>5</v>
      </c>
      <c r="K113" s="9">
        <f t="shared" si="12"/>
        <v>60000</v>
      </c>
      <c r="L113" s="7">
        <v>1</v>
      </c>
      <c r="M113" s="9">
        <f t="shared" si="13"/>
        <v>60000</v>
      </c>
      <c r="N113" s="9">
        <f t="shared" si="14"/>
        <v>39000</v>
      </c>
      <c r="O113" s="7" t="s">
        <v>1006</v>
      </c>
      <c r="P113" s="10">
        <f t="shared" si="15"/>
        <v>0.1</v>
      </c>
      <c r="Q113" s="9">
        <f t="shared" si="16"/>
        <v>6000</v>
      </c>
      <c r="R113" s="9">
        <f t="shared" si="17"/>
        <v>54000</v>
      </c>
      <c r="S113" s="9" t="str">
        <f t="shared" si="18"/>
        <v>Profit</v>
      </c>
      <c r="T113" s="7" t="str">
        <f t="shared" si="19"/>
        <v>Jan</v>
      </c>
      <c r="U113" s="7">
        <f t="shared" si="20"/>
        <v>2025</v>
      </c>
      <c r="V113" s="7" t="str">
        <f t="shared" si="21"/>
        <v>40-45</v>
      </c>
    </row>
    <row r="114" spans="1:22" x14ac:dyDescent="0.3">
      <c r="A114" s="7" t="s">
        <v>131</v>
      </c>
      <c r="B114" s="8" t="s">
        <v>1135</v>
      </c>
      <c r="C114" s="8">
        <v>33</v>
      </c>
      <c r="D114" s="8" t="s">
        <v>720</v>
      </c>
      <c r="E114" s="8" t="s">
        <v>725</v>
      </c>
      <c r="F114" s="7" t="s">
        <v>727</v>
      </c>
      <c r="G114" s="7" t="s">
        <v>794</v>
      </c>
      <c r="H114" s="7" t="s">
        <v>897</v>
      </c>
      <c r="I114" s="7" t="s">
        <v>871</v>
      </c>
      <c r="J114" s="7">
        <f t="shared" si="11"/>
        <v>8</v>
      </c>
      <c r="K114" s="9">
        <f t="shared" si="12"/>
        <v>80000</v>
      </c>
      <c r="L114" s="7">
        <v>2</v>
      </c>
      <c r="M114" s="9">
        <f t="shared" si="13"/>
        <v>160000</v>
      </c>
      <c r="N114" s="9">
        <f t="shared" si="14"/>
        <v>96000</v>
      </c>
      <c r="O114" s="7" t="s">
        <v>1007</v>
      </c>
      <c r="P114" s="10">
        <f t="shared" si="15"/>
        <v>0</v>
      </c>
      <c r="Q114" s="9">
        <f t="shared" si="16"/>
        <v>0</v>
      </c>
      <c r="R114" s="9">
        <f t="shared" si="17"/>
        <v>5000</v>
      </c>
      <c r="S114" s="9" t="str">
        <f t="shared" si="18"/>
        <v>Loss</v>
      </c>
      <c r="T114" s="7" t="str">
        <f t="shared" si="19"/>
        <v>Jan</v>
      </c>
      <c r="U114" s="7">
        <f t="shared" si="20"/>
        <v>2025</v>
      </c>
      <c r="V114" s="7" t="str">
        <f t="shared" si="21"/>
        <v>30-35</v>
      </c>
    </row>
    <row r="115" spans="1:22" x14ac:dyDescent="0.3">
      <c r="A115" s="7" t="s">
        <v>132</v>
      </c>
      <c r="B115" s="8" t="s">
        <v>1136</v>
      </c>
      <c r="C115" s="8">
        <v>60</v>
      </c>
      <c r="D115" s="8" t="s">
        <v>721</v>
      </c>
      <c r="E115" s="8" t="s">
        <v>726</v>
      </c>
      <c r="F115" s="7" t="s">
        <v>731</v>
      </c>
      <c r="G115" s="7" t="s">
        <v>822</v>
      </c>
      <c r="H115" s="7" t="s">
        <v>831</v>
      </c>
      <c r="I115" s="7" t="s">
        <v>769</v>
      </c>
      <c r="J115" s="7">
        <f t="shared" si="11"/>
        <v>4</v>
      </c>
      <c r="K115" s="9">
        <f t="shared" si="12"/>
        <v>18000</v>
      </c>
      <c r="L115" s="7">
        <v>1</v>
      </c>
      <c r="M115" s="9">
        <f t="shared" si="13"/>
        <v>18000</v>
      </c>
      <c r="N115" s="9">
        <f t="shared" si="14"/>
        <v>9000</v>
      </c>
      <c r="O115" s="7" t="s">
        <v>1006</v>
      </c>
      <c r="P115" s="10">
        <f t="shared" si="15"/>
        <v>0.05</v>
      </c>
      <c r="Q115" s="9">
        <f t="shared" si="16"/>
        <v>900</v>
      </c>
      <c r="R115" s="9">
        <f t="shared" si="17"/>
        <v>17100</v>
      </c>
      <c r="S115" s="9" t="str">
        <f t="shared" si="18"/>
        <v>Profit</v>
      </c>
      <c r="T115" s="7" t="str">
        <f t="shared" si="19"/>
        <v>Jan</v>
      </c>
      <c r="U115" s="7">
        <f t="shared" si="20"/>
        <v>2025</v>
      </c>
      <c r="V115" s="7" t="str">
        <f t="shared" si="21"/>
        <v>60-65</v>
      </c>
    </row>
    <row r="116" spans="1:22" x14ac:dyDescent="0.3">
      <c r="A116" s="7" t="s">
        <v>133</v>
      </c>
      <c r="B116" s="8" t="s">
        <v>1137</v>
      </c>
      <c r="C116" s="8">
        <v>26</v>
      </c>
      <c r="D116" s="8" t="s">
        <v>721</v>
      </c>
      <c r="E116" s="8" t="s">
        <v>724</v>
      </c>
      <c r="F116" s="7" t="s">
        <v>734</v>
      </c>
      <c r="G116" s="7" t="s">
        <v>823</v>
      </c>
      <c r="H116" s="7" t="s">
        <v>798</v>
      </c>
      <c r="I116" s="7" t="s">
        <v>972</v>
      </c>
      <c r="J116" s="7">
        <f t="shared" si="11"/>
        <v>10</v>
      </c>
      <c r="K116" s="9">
        <f t="shared" si="12"/>
        <v>120000</v>
      </c>
      <c r="L116" s="7">
        <v>2</v>
      </c>
      <c r="M116" s="9">
        <f t="shared" si="13"/>
        <v>240000</v>
      </c>
      <c r="N116" s="9">
        <f t="shared" si="14"/>
        <v>156000</v>
      </c>
      <c r="O116" s="7" t="s">
        <v>1007</v>
      </c>
      <c r="P116" s="10">
        <f t="shared" si="15"/>
        <v>0</v>
      </c>
      <c r="Q116" s="9">
        <f t="shared" si="16"/>
        <v>0</v>
      </c>
      <c r="R116" s="9">
        <f t="shared" si="17"/>
        <v>5000</v>
      </c>
      <c r="S116" s="9" t="str">
        <f t="shared" si="18"/>
        <v>Loss</v>
      </c>
      <c r="T116" s="7" t="str">
        <f t="shared" si="19"/>
        <v>Feb</v>
      </c>
      <c r="U116" s="7">
        <f t="shared" si="20"/>
        <v>2025</v>
      </c>
      <c r="V116" s="7" t="str">
        <f t="shared" si="21"/>
        <v>25-30</v>
      </c>
    </row>
    <row r="117" spans="1:22" x14ac:dyDescent="0.3">
      <c r="A117" s="7" t="s">
        <v>134</v>
      </c>
      <c r="B117" s="8" t="s">
        <v>1138</v>
      </c>
      <c r="C117" s="8">
        <v>35</v>
      </c>
      <c r="D117" s="8" t="s">
        <v>720</v>
      </c>
      <c r="E117" s="8" t="s">
        <v>724</v>
      </c>
      <c r="F117" s="7" t="s">
        <v>729</v>
      </c>
      <c r="G117" s="7" t="s">
        <v>824</v>
      </c>
      <c r="H117" s="7" t="s">
        <v>910</v>
      </c>
      <c r="I117" s="7" t="s">
        <v>786</v>
      </c>
      <c r="J117" s="7">
        <f t="shared" si="11"/>
        <v>10</v>
      </c>
      <c r="K117" s="9">
        <f t="shared" si="12"/>
        <v>120000</v>
      </c>
      <c r="L117" s="7">
        <v>2</v>
      </c>
      <c r="M117" s="9">
        <f t="shared" si="13"/>
        <v>240000</v>
      </c>
      <c r="N117" s="9">
        <f t="shared" si="14"/>
        <v>156000</v>
      </c>
      <c r="O117" s="7" t="s">
        <v>1007</v>
      </c>
      <c r="P117" s="10">
        <f t="shared" si="15"/>
        <v>0</v>
      </c>
      <c r="Q117" s="9">
        <f t="shared" si="16"/>
        <v>0</v>
      </c>
      <c r="R117" s="9">
        <f t="shared" si="17"/>
        <v>5000</v>
      </c>
      <c r="S117" s="9" t="str">
        <f t="shared" si="18"/>
        <v>Loss</v>
      </c>
      <c r="T117" s="7" t="str">
        <f t="shared" si="19"/>
        <v>Jun</v>
      </c>
      <c r="U117" s="7">
        <f t="shared" si="20"/>
        <v>2025</v>
      </c>
      <c r="V117" s="7" t="str">
        <f t="shared" si="21"/>
        <v>35-40</v>
      </c>
    </row>
    <row r="118" spans="1:22" x14ac:dyDescent="0.3">
      <c r="A118" s="7" t="s">
        <v>135</v>
      </c>
      <c r="B118" s="8" t="s">
        <v>1139</v>
      </c>
      <c r="C118" s="8">
        <v>59</v>
      </c>
      <c r="D118" s="8" t="s">
        <v>720</v>
      </c>
      <c r="E118" s="8" t="s">
        <v>723</v>
      </c>
      <c r="F118" s="7" t="s">
        <v>732</v>
      </c>
      <c r="G118" s="7" t="s">
        <v>825</v>
      </c>
      <c r="H118" s="7" t="s">
        <v>848</v>
      </c>
      <c r="I118" s="7" t="s">
        <v>961</v>
      </c>
      <c r="J118" s="7">
        <f t="shared" si="11"/>
        <v>7</v>
      </c>
      <c r="K118" s="9">
        <f t="shared" si="12"/>
        <v>70000</v>
      </c>
      <c r="L118" s="7">
        <v>1</v>
      </c>
      <c r="M118" s="9">
        <f t="shared" si="13"/>
        <v>70000</v>
      </c>
      <c r="N118" s="9">
        <f t="shared" si="14"/>
        <v>42000</v>
      </c>
      <c r="O118" s="7" t="s">
        <v>1007</v>
      </c>
      <c r="P118" s="10">
        <f t="shared" si="15"/>
        <v>0</v>
      </c>
      <c r="Q118" s="9">
        <f t="shared" si="16"/>
        <v>0</v>
      </c>
      <c r="R118" s="9">
        <f t="shared" si="17"/>
        <v>5000</v>
      </c>
      <c r="S118" s="9" t="str">
        <f t="shared" si="18"/>
        <v>Loss</v>
      </c>
      <c r="T118" s="7" t="str">
        <f t="shared" si="19"/>
        <v>Mar</v>
      </c>
      <c r="U118" s="7">
        <f t="shared" si="20"/>
        <v>2025</v>
      </c>
      <c r="V118" s="7" t="str">
        <f t="shared" si="21"/>
        <v>55-60</v>
      </c>
    </row>
    <row r="119" spans="1:22" x14ac:dyDescent="0.3">
      <c r="A119" s="7" t="s">
        <v>136</v>
      </c>
      <c r="B119" s="8" t="s">
        <v>1140</v>
      </c>
      <c r="C119" s="8">
        <v>36</v>
      </c>
      <c r="D119" s="8" t="s">
        <v>720</v>
      </c>
      <c r="E119" s="8" t="s">
        <v>724</v>
      </c>
      <c r="F119" s="7" t="s">
        <v>729</v>
      </c>
      <c r="G119" s="7" t="s">
        <v>826</v>
      </c>
      <c r="H119" s="7" t="s">
        <v>786</v>
      </c>
      <c r="I119" s="7" t="s">
        <v>942</v>
      </c>
      <c r="J119" s="7">
        <f t="shared" si="11"/>
        <v>10</v>
      </c>
      <c r="K119" s="9">
        <f t="shared" si="12"/>
        <v>120000</v>
      </c>
      <c r="L119" s="7">
        <v>4</v>
      </c>
      <c r="M119" s="9">
        <f t="shared" si="13"/>
        <v>480000</v>
      </c>
      <c r="N119" s="9">
        <f t="shared" si="14"/>
        <v>312000</v>
      </c>
      <c r="O119" s="7" t="s">
        <v>1007</v>
      </c>
      <c r="P119" s="10">
        <f t="shared" si="15"/>
        <v>0</v>
      </c>
      <c r="Q119" s="9">
        <f t="shared" si="16"/>
        <v>0</v>
      </c>
      <c r="R119" s="9">
        <f t="shared" si="17"/>
        <v>5000</v>
      </c>
      <c r="S119" s="9" t="str">
        <f t="shared" si="18"/>
        <v>Loss</v>
      </c>
      <c r="T119" s="7" t="str">
        <f t="shared" si="19"/>
        <v>Jun</v>
      </c>
      <c r="U119" s="7">
        <f t="shared" si="20"/>
        <v>2025</v>
      </c>
      <c r="V119" s="7" t="str">
        <f t="shared" si="21"/>
        <v>35-40</v>
      </c>
    </row>
    <row r="120" spans="1:22" x14ac:dyDescent="0.3">
      <c r="A120" s="7" t="s">
        <v>137</v>
      </c>
      <c r="B120" s="8" t="s">
        <v>1141</v>
      </c>
      <c r="C120" s="8">
        <v>55</v>
      </c>
      <c r="D120" s="8" t="s">
        <v>721</v>
      </c>
      <c r="E120" s="8" t="s">
        <v>726</v>
      </c>
      <c r="F120" s="7" t="s">
        <v>731</v>
      </c>
      <c r="G120" s="7" t="s">
        <v>827</v>
      </c>
      <c r="H120" s="7" t="s">
        <v>755</v>
      </c>
      <c r="I120" s="7" t="s">
        <v>801</v>
      </c>
      <c r="J120" s="7">
        <f t="shared" si="11"/>
        <v>4</v>
      </c>
      <c r="K120" s="9">
        <f t="shared" si="12"/>
        <v>18000</v>
      </c>
      <c r="L120" s="7">
        <v>2</v>
      </c>
      <c r="M120" s="9">
        <f t="shared" si="13"/>
        <v>36000</v>
      </c>
      <c r="N120" s="9">
        <f t="shared" si="14"/>
        <v>18000</v>
      </c>
      <c r="O120" s="7" t="s">
        <v>1007</v>
      </c>
      <c r="P120" s="10">
        <f t="shared" si="15"/>
        <v>0</v>
      </c>
      <c r="Q120" s="9">
        <f t="shared" si="16"/>
        <v>0</v>
      </c>
      <c r="R120" s="9">
        <f t="shared" si="17"/>
        <v>5000</v>
      </c>
      <c r="S120" s="9" t="str">
        <f t="shared" si="18"/>
        <v>Loss</v>
      </c>
      <c r="T120" s="7" t="str">
        <f t="shared" si="19"/>
        <v>Apr</v>
      </c>
      <c r="U120" s="7">
        <f t="shared" si="20"/>
        <v>2025</v>
      </c>
      <c r="V120" s="7" t="str">
        <f t="shared" si="21"/>
        <v>55-60</v>
      </c>
    </row>
    <row r="121" spans="1:22" x14ac:dyDescent="0.3">
      <c r="A121" s="7" t="s">
        <v>138</v>
      </c>
      <c r="B121" s="8" t="s">
        <v>1142</v>
      </c>
      <c r="C121" s="8">
        <v>26</v>
      </c>
      <c r="D121" s="8" t="s">
        <v>721</v>
      </c>
      <c r="E121" s="8" t="s">
        <v>725</v>
      </c>
      <c r="F121" s="7" t="s">
        <v>731</v>
      </c>
      <c r="G121" s="7" t="s">
        <v>808</v>
      </c>
      <c r="H121" s="7" t="s">
        <v>897</v>
      </c>
      <c r="I121" s="7" t="s">
        <v>790</v>
      </c>
      <c r="J121" s="7">
        <f t="shared" si="11"/>
        <v>8</v>
      </c>
      <c r="K121" s="9">
        <f t="shared" si="12"/>
        <v>80000</v>
      </c>
      <c r="L121" s="7">
        <v>2</v>
      </c>
      <c r="M121" s="9">
        <f t="shared" si="13"/>
        <v>160000</v>
      </c>
      <c r="N121" s="9">
        <f t="shared" si="14"/>
        <v>96000</v>
      </c>
      <c r="O121" s="7" t="s">
        <v>1006</v>
      </c>
      <c r="P121" s="10">
        <f t="shared" si="15"/>
        <v>0.12</v>
      </c>
      <c r="Q121" s="9">
        <f t="shared" si="16"/>
        <v>19200</v>
      </c>
      <c r="R121" s="9">
        <f t="shared" si="17"/>
        <v>140800</v>
      </c>
      <c r="S121" s="9" t="str">
        <f t="shared" si="18"/>
        <v>Profit</v>
      </c>
      <c r="T121" s="7" t="str">
        <f t="shared" si="19"/>
        <v>Jan</v>
      </c>
      <c r="U121" s="7">
        <f t="shared" si="20"/>
        <v>2025</v>
      </c>
      <c r="V121" s="7" t="str">
        <f t="shared" si="21"/>
        <v>25-30</v>
      </c>
    </row>
    <row r="122" spans="1:22" x14ac:dyDescent="0.3">
      <c r="A122" s="7" t="s">
        <v>139</v>
      </c>
      <c r="B122" s="8" t="s">
        <v>1143</v>
      </c>
      <c r="C122" s="8">
        <v>31</v>
      </c>
      <c r="D122" s="8" t="s">
        <v>721</v>
      </c>
      <c r="E122" s="8" t="s">
        <v>725</v>
      </c>
      <c r="F122" s="7" t="s">
        <v>729</v>
      </c>
      <c r="G122" s="7" t="s">
        <v>736</v>
      </c>
      <c r="H122" s="7" t="s">
        <v>913</v>
      </c>
      <c r="I122" s="7" t="s">
        <v>836</v>
      </c>
      <c r="J122" s="7">
        <f t="shared" si="11"/>
        <v>8</v>
      </c>
      <c r="K122" s="9">
        <f t="shared" si="12"/>
        <v>80000</v>
      </c>
      <c r="L122" s="7">
        <v>2</v>
      </c>
      <c r="M122" s="9">
        <f t="shared" si="13"/>
        <v>160000</v>
      </c>
      <c r="N122" s="9">
        <f t="shared" si="14"/>
        <v>96000</v>
      </c>
      <c r="O122" s="7" t="s">
        <v>1006</v>
      </c>
      <c r="P122" s="10">
        <f t="shared" si="15"/>
        <v>0.12</v>
      </c>
      <c r="Q122" s="9">
        <f t="shared" si="16"/>
        <v>19200</v>
      </c>
      <c r="R122" s="9">
        <f t="shared" si="17"/>
        <v>140800</v>
      </c>
      <c r="S122" s="9" t="str">
        <f t="shared" si="18"/>
        <v>Profit</v>
      </c>
      <c r="T122" s="7" t="str">
        <f t="shared" si="19"/>
        <v>Jul</v>
      </c>
      <c r="U122" s="7">
        <f t="shared" si="20"/>
        <v>2025</v>
      </c>
      <c r="V122" s="7" t="str">
        <f t="shared" si="21"/>
        <v>30-35</v>
      </c>
    </row>
    <row r="123" spans="1:22" x14ac:dyDescent="0.3">
      <c r="A123" s="7" t="s">
        <v>140</v>
      </c>
      <c r="B123" s="8" t="s">
        <v>1144</v>
      </c>
      <c r="C123" s="8">
        <v>28</v>
      </c>
      <c r="D123" s="8" t="s">
        <v>720</v>
      </c>
      <c r="E123" s="8" t="s">
        <v>724</v>
      </c>
      <c r="F123" s="7" t="s">
        <v>727</v>
      </c>
      <c r="G123" s="7" t="s">
        <v>828</v>
      </c>
      <c r="H123" s="7" t="s">
        <v>851</v>
      </c>
      <c r="I123" s="7" t="s">
        <v>882</v>
      </c>
      <c r="J123" s="7">
        <f t="shared" si="11"/>
        <v>10</v>
      </c>
      <c r="K123" s="9">
        <f t="shared" si="12"/>
        <v>120000</v>
      </c>
      <c r="L123" s="7">
        <v>4</v>
      </c>
      <c r="M123" s="9">
        <f t="shared" si="13"/>
        <v>480000</v>
      </c>
      <c r="N123" s="9">
        <f t="shared" si="14"/>
        <v>312000</v>
      </c>
      <c r="O123" s="7" t="s">
        <v>1006</v>
      </c>
      <c r="P123" s="10">
        <f t="shared" si="15"/>
        <v>0.15</v>
      </c>
      <c r="Q123" s="9">
        <f t="shared" si="16"/>
        <v>72000</v>
      </c>
      <c r="R123" s="9">
        <f t="shared" si="17"/>
        <v>408000</v>
      </c>
      <c r="S123" s="9" t="str">
        <f t="shared" si="18"/>
        <v>Profit</v>
      </c>
      <c r="T123" s="7" t="str">
        <f t="shared" si="19"/>
        <v>Feb</v>
      </c>
      <c r="U123" s="7">
        <f t="shared" si="20"/>
        <v>2025</v>
      </c>
      <c r="V123" s="7" t="str">
        <f t="shared" si="21"/>
        <v>25-30</v>
      </c>
    </row>
    <row r="124" spans="1:22" x14ac:dyDescent="0.3">
      <c r="A124" s="7" t="s">
        <v>141</v>
      </c>
      <c r="B124" s="8" t="s">
        <v>1145</v>
      </c>
      <c r="C124" s="8">
        <v>55</v>
      </c>
      <c r="D124" s="8" t="s">
        <v>720</v>
      </c>
      <c r="E124" s="8" t="s">
        <v>726</v>
      </c>
      <c r="F124" s="7" t="s">
        <v>1730</v>
      </c>
      <c r="G124" s="7" t="s">
        <v>826</v>
      </c>
      <c r="H124" s="7" t="s">
        <v>810</v>
      </c>
      <c r="I124" s="7" t="s">
        <v>786</v>
      </c>
      <c r="J124" s="7">
        <f t="shared" si="11"/>
        <v>4</v>
      </c>
      <c r="K124" s="9">
        <f t="shared" si="12"/>
        <v>18000</v>
      </c>
      <c r="L124" s="7">
        <v>3</v>
      </c>
      <c r="M124" s="9">
        <f t="shared" si="13"/>
        <v>54000</v>
      </c>
      <c r="N124" s="9">
        <f t="shared" si="14"/>
        <v>27000</v>
      </c>
      <c r="O124" s="7" t="s">
        <v>1007</v>
      </c>
      <c r="P124" s="10">
        <f t="shared" si="15"/>
        <v>0</v>
      </c>
      <c r="Q124" s="9">
        <f t="shared" si="16"/>
        <v>0</v>
      </c>
      <c r="R124" s="9">
        <f t="shared" si="17"/>
        <v>5000</v>
      </c>
      <c r="S124" s="9" t="str">
        <f t="shared" si="18"/>
        <v>Loss</v>
      </c>
      <c r="T124" s="7" t="str">
        <f t="shared" si="19"/>
        <v>Jun</v>
      </c>
      <c r="U124" s="7">
        <f t="shared" si="20"/>
        <v>2025</v>
      </c>
      <c r="V124" s="7" t="str">
        <f t="shared" si="21"/>
        <v>55-60</v>
      </c>
    </row>
    <row r="125" spans="1:22" x14ac:dyDescent="0.3">
      <c r="A125" s="7" t="s">
        <v>142</v>
      </c>
      <c r="B125" s="8" t="s">
        <v>1146</v>
      </c>
      <c r="C125" s="8">
        <v>28</v>
      </c>
      <c r="D125" s="8" t="s">
        <v>721</v>
      </c>
      <c r="E125" s="8" t="s">
        <v>725</v>
      </c>
      <c r="F125" s="7" t="s">
        <v>734</v>
      </c>
      <c r="G125" s="7" t="s">
        <v>829</v>
      </c>
      <c r="H125" s="7" t="s">
        <v>757</v>
      </c>
      <c r="I125" s="7" t="s">
        <v>787</v>
      </c>
      <c r="J125" s="7">
        <f t="shared" si="11"/>
        <v>8</v>
      </c>
      <c r="K125" s="9">
        <f t="shared" si="12"/>
        <v>80000</v>
      </c>
      <c r="L125" s="7">
        <v>2</v>
      </c>
      <c r="M125" s="9">
        <f t="shared" si="13"/>
        <v>160000</v>
      </c>
      <c r="N125" s="9">
        <f t="shared" si="14"/>
        <v>96000</v>
      </c>
      <c r="O125" s="7" t="s">
        <v>1007</v>
      </c>
      <c r="P125" s="10">
        <f t="shared" si="15"/>
        <v>0</v>
      </c>
      <c r="Q125" s="9">
        <f t="shared" si="16"/>
        <v>0</v>
      </c>
      <c r="R125" s="9">
        <f t="shared" si="17"/>
        <v>5000</v>
      </c>
      <c r="S125" s="9" t="str">
        <f t="shared" si="18"/>
        <v>Loss</v>
      </c>
      <c r="T125" s="7" t="str">
        <f t="shared" si="19"/>
        <v>Jun</v>
      </c>
      <c r="U125" s="7">
        <f t="shared" si="20"/>
        <v>2025</v>
      </c>
      <c r="V125" s="7" t="str">
        <f t="shared" si="21"/>
        <v>25-30</v>
      </c>
    </row>
    <row r="126" spans="1:22" x14ac:dyDescent="0.3">
      <c r="A126" s="7" t="s">
        <v>143</v>
      </c>
      <c r="B126" s="8" t="s">
        <v>1147</v>
      </c>
      <c r="C126" s="8">
        <v>42</v>
      </c>
      <c r="D126" s="8" t="s">
        <v>720</v>
      </c>
      <c r="E126" s="8" t="s">
        <v>723</v>
      </c>
      <c r="F126" s="7" t="s">
        <v>731</v>
      </c>
      <c r="G126" s="7" t="s">
        <v>830</v>
      </c>
      <c r="H126" s="7" t="s">
        <v>970</v>
      </c>
      <c r="I126" s="7" t="s">
        <v>1002</v>
      </c>
      <c r="J126" s="7">
        <f t="shared" si="11"/>
        <v>7</v>
      </c>
      <c r="K126" s="9">
        <f t="shared" si="12"/>
        <v>70000</v>
      </c>
      <c r="L126" s="7">
        <v>1</v>
      </c>
      <c r="M126" s="9">
        <f t="shared" si="13"/>
        <v>70000</v>
      </c>
      <c r="N126" s="9">
        <f t="shared" si="14"/>
        <v>42000</v>
      </c>
      <c r="O126" s="7" t="s">
        <v>1006</v>
      </c>
      <c r="P126" s="10">
        <f t="shared" si="15"/>
        <v>7.0000000000000007E-2</v>
      </c>
      <c r="Q126" s="9">
        <f t="shared" si="16"/>
        <v>4900.0000000000009</v>
      </c>
      <c r="R126" s="9">
        <f t="shared" si="17"/>
        <v>65100</v>
      </c>
      <c r="S126" s="9" t="str">
        <f t="shared" si="18"/>
        <v>Profit</v>
      </c>
      <c r="T126" s="7" t="str">
        <f t="shared" si="19"/>
        <v>Aug</v>
      </c>
      <c r="U126" s="7">
        <f t="shared" si="20"/>
        <v>2025</v>
      </c>
      <c r="V126" s="7" t="str">
        <f t="shared" si="21"/>
        <v>40-45</v>
      </c>
    </row>
    <row r="127" spans="1:22" x14ac:dyDescent="0.3">
      <c r="A127" s="7" t="s">
        <v>144</v>
      </c>
      <c r="B127" s="8" t="s">
        <v>1148</v>
      </c>
      <c r="C127" s="8">
        <v>59</v>
      </c>
      <c r="D127" s="8" t="s">
        <v>721</v>
      </c>
      <c r="E127" s="8" t="s">
        <v>724</v>
      </c>
      <c r="F127" s="7" t="s">
        <v>733</v>
      </c>
      <c r="G127" s="7" t="s">
        <v>792</v>
      </c>
      <c r="H127" s="7" t="s">
        <v>971</v>
      </c>
      <c r="I127" s="7" t="s">
        <v>993</v>
      </c>
      <c r="J127" s="7">
        <f t="shared" si="11"/>
        <v>10</v>
      </c>
      <c r="K127" s="9">
        <f t="shared" si="12"/>
        <v>120000</v>
      </c>
      <c r="L127" s="7">
        <v>3</v>
      </c>
      <c r="M127" s="9">
        <f t="shared" si="13"/>
        <v>360000</v>
      </c>
      <c r="N127" s="9">
        <f t="shared" si="14"/>
        <v>234000</v>
      </c>
      <c r="O127" s="7" t="s">
        <v>1007</v>
      </c>
      <c r="P127" s="10">
        <f t="shared" si="15"/>
        <v>0</v>
      </c>
      <c r="Q127" s="9">
        <f t="shared" si="16"/>
        <v>0</v>
      </c>
      <c r="R127" s="9">
        <f t="shared" si="17"/>
        <v>5000</v>
      </c>
      <c r="S127" s="9" t="str">
        <f t="shared" si="18"/>
        <v>Loss</v>
      </c>
      <c r="T127" s="7" t="str">
        <f t="shared" si="19"/>
        <v>Aug</v>
      </c>
      <c r="U127" s="7">
        <f t="shared" si="20"/>
        <v>2025</v>
      </c>
      <c r="V127" s="7" t="str">
        <f t="shared" si="21"/>
        <v>55-60</v>
      </c>
    </row>
    <row r="128" spans="1:22" x14ac:dyDescent="0.3">
      <c r="A128" s="7" t="s">
        <v>145</v>
      </c>
      <c r="B128" s="8" t="s">
        <v>1149</v>
      </c>
      <c r="C128" s="8">
        <v>42</v>
      </c>
      <c r="D128" s="8" t="s">
        <v>721</v>
      </c>
      <c r="E128" s="8" t="s">
        <v>722</v>
      </c>
      <c r="F128" s="7" t="s">
        <v>730</v>
      </c>
      <c r="G128" s="7" t="s">
        <v>831</v>
      </c>
      <c r="H128" s="7" t="s">
        <v>972</v>
      </c>
      <c r="I128" s="7" t="s">
        <v>975</v>
      </c>
      <c r="J128" s="7">
        <f t="shared" si="11"/>
        <v>5</v>
      </c>
      <c r="K128" s="9">
        <f t="shared" si="12"/>
        <v>60000</v>
      </c>
      <c r="L128" s="7">
        <v>3</v>
      </c>
      <c r="M128" s="9">
        <f t="shared" si="13"/>
        <v>180000</v>
      </c>
      <c r="N128" s="9">
        <f t="shared" si="14"/>
        <v>117000</v>
      </c>
      <c r="O128" s="7" t="s">
        <v>1006</v>
      </c>
      <c r="P128" s="10">
        <f t="shared" si="15"/>
        <v>0.1</v>
      </c>
      <c r="Q128" s="9">
        <f t="shared" si="16"/>
        <v>18000</v>
      </c>
      <c r="R128" s="9">
        <f t="shared" si="17"/>
        <v>162000</v>
      </c>
      <c r="S128" s="9" t="str">
        <f t="shared" si="18"/>
        <v>Profit</v>
      </c>
      <c r="T128" s="7" t="str">
        <f t="shared" si="19"/>
        <v>Feb</v>
      </c>
      <c r="U128" s="7">
        <f t="shared" si="20"/>
        <v>2025</v>
      </c>
      <c r="V128" s="7" t="str">
        <f t="shared" si="21"/>
        <v>40-45</v>
      </c>
    </row>
    <row r="129" spans="1:22" x14ac:dyDescent="0.3">
      <c r="A129" s="7" t="s">
        <v>146</v>
      </c>
      <c r="B129" s="8" t="s">
        <v>1150</v>
      </c>
      <c r="C129" s="8">
        <v>52</v>
      </c>
      <c r="D129" s="8" t="s">
        <v>720</v>
      </c>
      <c r="E129" s="8" t="s">
        <v>726</v>
      </c>
      <c r="F129" s="7" t="s">
        <v>1726</v>
      </c>
      <c r="G129" s="7" t="s">
        <v>832</v>
      </c>
      <c r="H129" s="7" t="s">
        <v>813</v>
      </c>
      <c r="I129" s="7" t="s">
        <v>855</v>
      </c>
      <c r="J129" s="7">
        <f t="shared" si="11"/>
        <v>4</v>
      </c>
      <c r="K129" s="9">
        <f t="shared" si="12"/>
        <v>18000</v>
      </c>
      <c r="L129" s="7">
        <v>2</v>
      </c>
      <c r="M129" s="9">
        <f t="shared" si="13"/>
        <v>36000</v>
      </c>
      <c r="N129" s="9">
        <f t="shared" si="14"/>
        <v>18000</v>
      </c>
      <c r="O129" s="7" t="s">
        <v>1007</v>
      </c>
      <c r="P129" s="10">
        <f t="shared" si="15"/>
        <v>0</v>
      </c>
      <c r="Q129" s="9">
        <f t="shared" si="16"/>
        <v>0</v>
      </c>
      <c r="R129" s="9">
        <f t="shared" si="17"/>
        <v>5000</v>
      </c>
      <c r="S129" s="9" t="str">
        <f t="shared" si="18"/>
        <v>Loss</v>
      </c>
      <c r="T129" s="7" t="str">
        <f t="shared" si="19"/>
        <v>Feb</v>
      </c>
      <c r="U129" s="7">
        <f t="shared" si="20"/>
        <v>2025</v>
      </c>
      <c r="V129" s="7" t="str">
        <f t="shared" si="21"/>
        <v>50-55</v>
      </c>
    </row>
    <row r="130" spans="1:22" x14ac:dyDescent="0.3">
      <c r="A130" s="7" t="s">
        <v>147</v>
      </c>
      <c r="B130" s="8" t="s">
        <v>1151</v>
      </c>
      <c r="C130" s="8">
        <v>52</v>
      </c>
      <c r="D130" s="8" t="s">
        <v>721</v>
      </c>
      <c r="E130" s="8" t="s">
        <v>722</v>
      </c>
      <c r="F130" s="7" t="s">
        <v>732</v>
      </c>
      <c r="G130" s="7" t="s">
        <v>833</v>
      </c>
      <c r="H130" s="7" t="s">
        <v>962</v>
      </c>
      <c r="I130" s="7" t="s">
        <v>834</v>
      </c>
      <c r="J130" s="7">
        <f t="shared" si="11"/>
        <v>5</v>
      </c>
      <c r="K130" s="9">
        <f t="shared" si="12"/>
        <v>60000</v>
      </c>
      <c r="L130" s="7">
        <v>3</v>
      </c>
      <c r="M130" s="9">
        <f t="shared" si="13"/>
        <v>180000</v>
      </c>
      <c r="N130" s="9">
        <f t="shared" si="14"/>
        <v>117000</v>
      </c>
      <c r="O130" s="7" t="s">
        <v>1007</v>
      </c>
      <c r="P130" s="10">
        <f t="shared" si="15"/>
        <v>0</v>
      </c>
      <c r="Q130" s="9">
        <f t="shared" si="16"/>
        <v>0</v>
      </c>
      <c r="R130" s="9">
        <f t="shared" si="17"/>
        <v>5000</v>
      </c>
      <c r="S130" s="9" t="str">
        <f t="shared" si="18"/>
        <v>Loss</v>
      </c>
      <c r="T130" s="7" t="str">
        <f t="shared" si="19"/>
        <v>May</v>
      </c>
      <c r="U130" s="7">
        <f t="shared" si="20"/>
        <v>2025</v>
      </c>
      <c r="V130" s="7" t="str">
        <f t="shared" si="21"/>
        <v>50-55</v>
      </c>
    </row>
    <row r="131" spans="1:22" x14ac:dyDescent="0.3">
      <c r="A131" s="7" t="s">
        <v>148</v>
      </c>
      <c r="B131" s="8" t="s">
        <v>1152</v>
      </c>
      <c r="C131" s="8">
        <v>29</v>
      </c>
      <c r="D131" s="8" t="s">
        <v>720</v>
      </c>
      <c r="E131" s="8" t="s">
        <v>725</v>
      </c>
      <c r="F131" s="7" t="s">
        <v>733</v>
      </c>
      <c r="G131" s="7" t="s">
        <v>834</v>
      </c>
      <c r="H131" s="7" t="s">
        <v>736</v>
      </c>
      <c r="I131" s="7" t="s">
        <v>872</v>
      </c>
      <c r="J131" s="7">
        <f t="shared" si="11"/>
        <v>8</v>
      </c>
      <c r="K131" s="9">
        <f t="shared" si="12"/>
        <v>80000</v>
      </c>
      <c r="L131" s="7">
        <v>2</v>
      </c>
      <c r="M131" s="9">
        <f t="shared" si="13"/>
        <v>160000</v>
      </c>
      <c r="N131" s="9">
        <f t="shared" si="14"/>
        <v>96000</v>
      </c>
      <c r="O131" s="7" t="s">
        <v>1007</v>
      </c>
      <c r="P131" s="10">
        <f t="shared" si="15"/>
        <v>0</v>
      </c>
      <c r="Q131" s="9">
        <f t="shared" si="16"/>
        <v>0</v>
      </c>
      <c r="R131" s="9">
        <f t="shared" si="17"/>
        <v>5000</v>
      </c>
      <c r="S131" s="9" t="str">
        <f t="shared" si="18"/>
        <v>Loss</v>
      </c>
      <c r="T131" s="7" t="str">
        <f t="shared" si="19"/>
        <v>Jun</v>
      </c>
      <c r="U131" s="7">
        <f t="shared" si="20"/>
        <v>2025</v>
      </c>
      <c r="V131" s="7" t="str">
        <f t="shared" si="21"/>
        <v>25-30</v>
      </c>
    </row>
    <row r="132" spans="1:22" x14ac:dyDescent="0.3">
      <c r="A132" s="7" t="s">
        <v>149</v>
      </c>
      <c r="B132" s="8" t="s">
        <v>1153</v>
      </c>
      <c r="C132" s="8">
        <v>24</v>
      </c>
      <c r="D132" s="8" t="s">
        <v>720</v>
      </c>
      <c r="E132" s="8" t="s">
        <v>722</v>
      </c>
      <c r="F132" s="7" t="s">
        <v>733</v>
      </c>
      <c r="G132" s="7" t="s">
        <v>760</v>
      </c>
      <c r="H132" s="7" t="s">
        <v>886</v>
      </c>
      <c r="I132" s="7" t="s">
        <v>845</v>
      </c>
      <c r="J132" s="7">
        <f t="shared" ref="J132:J195" si="22">IF(E132="Adventure",5,IF(E132="Domestic",4,IF(E132="Family",7,IF(E132="Honeymoon",8,IF(E132="International",10,"")))))</f>
        <v>5</v>
      </c>
      <c r="K132" s="9">
        <f t="shared" ref="K132:K195" si="23">IF(E132="Adventure",60000,
IF(E132="Domestic",18000,
IF(E132="Family",70000,
IF(E132="Honeymoon",80000,
IF(E132="International",120000,"")))))</f>
        <v>60000</v>
      </c>
      <c r="L132" s="7">
        <v>4</v>
      </c>
      <c r="M132" s="9">
        <f t="shared" ref="M132:M195" si="24">K132*L132</f>
        <v>240000</v>
      </c>
      <c r="N132" s="9">
        <f t="shared" ref="N132:N195" si="25">IF(E132="Adventure",M132*65%,IF(E132="Domestic",M132*50%,IF(E132="Family",M132*60%,IF(E132="Honeymoon",M132*60%,IF(E132="International",M132*65%,0)))))</f>
        <v>156000</v>
      </c>
      <c r="O132" s="7" t="s">
        <v>1007</v>
      </c>
      <c r="P132" s="10">
        <f t="shared" ref="P132:P195" si="26">IF(O132="Cancelled",0,IF(E132="Domestic",5%,IF(E132="Adventure",10%,IF(E132="Family",7%,IF(E132="Honeymoon",12%,IF(E132="International",15%,0))))))</f>
        <v>0</v>
      </c>
      <c r="Q132" s="9">
        <f t="shared" ref="Q132:Q195" si="27">M132*P132</f>
        <v>0</v>
      </c>
      <c r="R132" s="9">
        <f t="shared" ref="R132:R195" si="28">IF(O132="Cancelled",5000,M132-Q132)</f>
        <v>5000</v>
      </c>
      <c r="S132" s="9" t="str">
        <f t="shared" ref="S132:S195" si="29">IF(R132-N132&gt;5000,"Profit","Loss")</f>
        <v>Loss</v>
      </c>
      <c r="T132" s="7" t="str">
        <f t="shared" ref="T132:T195" si="30">TEXT(G132,"mmm")</f>
        <v>Mar</v>
      </c>
      <c r="U132" s="7">
        <f t="shared" ref="U132:U195" si="31">YEAR(G132)</f>
        <v>2025</v>
      </c>
      <c r="V132" s="7" t="str">
        <f t="shared" ref="V132:V195" si="32">FLOOR(C132,5) &amp; "-" &amp; FLOOR(C132,5)+5</f>
        <v>20-25</v>
      </c>
    </row>
    <row r="133" spans="1:22" x14ac:dyDescent="0.3">
      <c r="A133" s="7" t="s">
        <v>150</v>
      </c>
      <c r="B133" s="8" t="s">
        <v>1154</v>
      </c>
      <c r="C133" s="8">
        <v>54</v>
      </c>
      <c r="D133" s="8" t="s">
        <v>720</v>
      </c>
      <c r="E133" s="8" t="s">
        <v>726</v>
      </c>
      <c r="F133" s="7" t="s">
        <v>731</v>
      </c>
      <c r="G133" s="7" t="s">
        <v>835</v>
      </c>
      <c r="H133" s="7" t="s">
        <v>969</v>
      </c>
      <c r="I133" s="7" t="s">
        <v>967</v>
      </c>
      <c r="J133" s="7">
        <f t="shared" si="22"/>
        <v>4</v>
      </c>
      <c r="K133" s="9">
        <f t="shared" si="23"/>
        <v>18000</v>
      </c>
      <c r="L133" s="7">
        <v>2</v>
      </c>
      <c r="M133" s="9">
        <f t="shared" si="24"/>
        <v>36000</v>
      </c>
      <c r="N133" s="9">
        <f t="shared" si="25"/>
        <v>18000</v>
      </c>
      <c r="O133" s="7" t="s">
        <v>1006</v>
      </c>
      <c r="P133" s="10">
        <f t="shared" si="26"/>
        <v>0.05</v>
      </c>
      <c r="Q133" s="9">
        <f t="shared" si="27"/>
        <v>1800</v>
      </c>
      <c r="R133" s="9">
        <f t="shared" si="28"/>
        <v>34200</v>
      </c>
      <c r="S133" s="9" t="str">
        <f t="shared" si="29"/>
        <v>Profit</v>
      </c>
      <c r="T133" s="7" t="str">
        <f t="shared" si="30"/>
        <v>Aug</v>
      </c>
      <c r="U133" s="7">
        <f t="shared" si="31"/>
        <v>2025</v>
      </c>
      <c r="V133" s="7" t="str">
        <f t="shared" si="32"/>
        <v>50-55</v>
      </c>
    </row>
    <row r="134" spans="1:22" x14ac:dyDescent="0.3">
      <c r="A134" s="7" t="s">
        <v>151</v>
      </c>
      <c r="B134" s="8" t="s">
        <v>1155</v>
      </c>
      <c r="C134" s="8">
        <v>27</v>
      </c>
      <c r="D134" s="8" t="s">
        <v>721</v>
      </c>
      <c r="E134" s="8" t="s">
        <v>726</v>
      </c>
      <c r="F134" s="7" t="s">
        <v>728</v>
      </c>
      <c r="G134" s="7" t="s">
        <v>836</v>
      </c>
      <c r="H134" s="7" t="s">
        <v>866</v>
      </c>
      <c r="I134" s="7" t="s">
        <v>969</v>
      </c>
      <c r="J134" s="7">
        <f t="shared" si="22"/>
        <v>4</v>
      </c>
      <c r="K134" s="9">
        <f t="shared" si="23"/>
        <v>18000</v>
      </c>
      <c r="L134" s="7">
        <v>2</v>
      </c>
      <c r="M134" s="9">
        <f t="shared" si="24"/>
        <v>36000</v>
      </c>
      <c r="N134" s="9">
        <f t="shared" si="25"/>
        <v>18000</v>
      </c>
      <c r="O134" s="7" t="s">
        <v>1006</v>
      </c>
      <c r="P134" s="10">
        <f t="shared" si="26"/>
        <v>0.05</v>
      </c>
      <c r="Q134" s="9">
        <f t="shared" si="27"/>
        <v>1800</v>
      </c>
      <c r="R134" s="9">
        <f t="shared" si="28"/>
        <v>34200</v>
      </c>
      <c r="S134" s="9" t="str">
        <f t="shared" si="29"/>
        <v>Profit</v>
      </c>
      <c r="T134" s="7" t="str">
        <f t="shared" si="30"/>
        <v>Jul</v>
      </c>
      <c r="U134" s="7">
        <f t="shared" si="31"/>
        <v>2025</v>
      </c>
      <c r="V134" s="7" t="str">
        <f t="shared" si="32"/>
        <v>25-30</v>
      </c>
    </row>
    <row r="135" spans="1:22" x14ac:dyDescent="0.3">
      <c r="A135" s="7" t="s">
        <v>152</v>
      </c>
      <c r="B135" s="8" t="s">
        <v>1156</v>
      </c>
      <c r="C135" s="8">
        <v>31</v>
      </c>
      <c r="D135" s="8" t="s">
        <v>721</v>
      </c>
      <c r="E135" s="8" t="s">
        <v>723</v>
      </c>
      <c r="F135" s="7" t="s">
        <v>729</v>
      </c>
      <c r="G135" s="7" t="s">
        <v>837</v>
      </c>
      <c r="H135" s="7" t="s">
        <v>823</v>
      </c>
      <c r="I135" s="7" t="s">
        <v>871</v>
      </c>
      <c r="J135" s="7">
        <f t="shared" si="22"/>
        <v>7</v>
      </c>
      <c r="K135" s="9">
        <f t="shared" si="23"/>
        <v>70000</v>
      </c>
      <c r="L135" s="7">
        <v>4</v>
      </c>
      <c r="M135" s="9">
        <f t="shared" si="24"/>
        <v>280000</v>
      </c>
      <c r="N135" s="9">
        <f t="shared" si="25"/>
        <v>168000</v>
      </c>
      <c r="O135" s="7" t="s">
        <v>1006</v>
      </c>
      <c r="P135" s="10">
        <f t="shared" si="26"/>
        <v>7.0000000000000007E-2</v>
      </c>
      <c r="Q135" s="9">
        <f t="shared" si="27"/>
        <v>19600.000000000004</v>
      </c>
      <c r="R135" s="9">
        <f t="shared" si="28"/>
        <v>260400</v>
      </c>
      <c r="S135" s="9" t="str">
        <f t="shared" si="29"/>
        <v>Profit</v>
      </c>
      <c r="T135" s="7" t="str">
        <f t="shared" si="30"/>
        <v>Jan</v>
      </c>
      <c r="U135" s="7">
        <f t="shared" si="31"/>
        <v>2025</v>
      </c>
      <c r="V135" s="7" t="str">
        <f t="shared" si="32"/>
        <v>30-35</v>
      </c>
    </row>
    <row r="136" spans="1:22" x14ac:dyDescent="0.3">
      <c r="A136" s="7" t="s">
        <v>153</v>
      </c>
      <c r="B136" s="8" t="s">
        <v>1157</v>
      </c>
      <c r="C136" s="8">
        <v>46</v>
      </c>
      <c r="D136" s="8" t="s">
        <v>720</v>
      </c>
      <c r="E136" s="8" t="s">
        <v>722</v>
      </c>
      <c r="F136" s="7" t="s">
        <v>1730</v>
      </c>
      <c r="G136" s="7" t="s">
        <v>838</v>
      </c>
      <c r="H136" s="7" t="s">
        <v>973</v>
      </c>
      <c r="I136" s="7" t="s">
        <v>970</v>
      </c>
      <c r="J136" s="7">
        <f t="shared" si="22"/>
        <v>5</v>
      </c>
      <c r="K136" s="9">
        <f t="shared" si="23"/>
        <v>60000</v>
      </c>
      <c r="L136" s="7">
        <v>2</v>
      </c>
      <c r="M136" s="9">
        <f t="shared" si="24"/>
        <v>120000</v>
      </c>
      <c r="N136" s="9">
        <f t="shared" si="25"/>
        <v>78000</v>
      </c>
      <c r="O136" s="7" t="s">
        <v>1006</v>
      </c>
      <c r="P136" s="10">
        <f t="shared" si="26"/>
        <v>0.1</v>
      </c>
      <c r="Q136" s="9">
        <f t="shared" si="27"/>
        <v>12000</v>
      </c>
      <c r="R136" s="9">
        <f t="shared" si="28"/>
        <v>108000</v>
      </c>
      <c r="S136" s="9" t="str">
        <f t="shared" si="29"/>
        <v>Profit</v>
      </c>
      <c r="T136" s="7" t="str">
        <f t="shared" si="30"/>
        <v>Aug</v>
      </c>
      <c r="U136" s="7">
        <f t="shared" si="31"/>
        <v>2025</v>
      </c>
      <c r="V136" s="7" t="str">
        <f t="shared" si="32"/>
        <v>45-50</v>
      </c>
    </row>
    <row r="137" spans="1:22" x14ac:dyDescent="0.3">
      <c r="A137" s="7" t="s">
        <v>154</v>
      </c>
      <c r="B137" s="8" t="s">
        <v>1158</v>
      </c>
      <c r="C137" s="8">
        <v>19</v>
      </c>
      <c r="D137" s="8" t="s">
        <v>720</v>
      </c>
      <c r="E137" s="8" t="s">
        <v>723</v>
      </c>
      <c r="F137" s="7" t="s">
        <v>1730</v>
      </c>
      <c r="G137" s="7" t="s">
        <v>839</v>
      </c>
      <c r="H137" s="7" t="s">
        <v>905</v>
      </c>
      <c r="I137" s="7" t="s">
        <v>792</v>
      </c>
      <c r="J137" s="7">
        <f t="shared" si="22"/>
        <v>7</v>
      </c>
      <c r="K137" s="9">
        <f t="shared" si="23"/>
        <v>70000</v>
      </c>
      <c r="L137" s="7">
        <v>4</v>
      </c>
      <c r="M137" s="9">
        <f t="shared" si="24"/>
        <v>280000</v>
      </c>
      <c r="N137" s="9">
        <f t="shared" si="25"/>
        <v>168000</v>
      </c>
      <c r="O137" s="7" t="s">
        <v>1007</v>
      </c>
      <c r="P137" s="10">
        <f t="shared" si="26"/>
        <v>0</v>
      </c>
      <c r="Q137" s="9">
        <f t="shared" si="27"/>
        <v>0</v>
      </c>
      <c r="R137" s="9">
        <f t="shared" si="28"/>
        <v>5000</v>
      </c>
      <c r="S137" s="9" t="str">
        <f t="shared" si="29"/>
        <v>Loss</v>
      </c>
      <c r="T137" s="7" t="str">
        <f t="shared" si="30"/>
        <v>Aug</v>
      </c>
      <c r="U137" s="7">
        <f t="shared" si="31"/>
        <v>2025</v>
      </c>
      <c r="V137" s="7" t="str">
        <f t="shared" si="32"/>
        <v>15-20</v>
      </c>
    </row>
    <row r="138" spans="1:22" x14ac:dyDescent="0.3">
      <c r="A138" s="7" t="s">
        <v>155</v>
      </c>
      <c r="B138" s="8" t="s">
        <v>1159</v>
      </c>
      <c r="C138" s="8">
        <v>30</v>
      </c>
      <c r="D138" s="8" t="s">
        <v>721</v>
      </c>
      <c r="E138" s="8" t="s">
        <v>725</v>
      </c>
      <c r="F138" s="7" t="s">
        <v>732</v>
      </c>
      <c r="G138" s="7" t="s">
        <v>801</v>
      </c>
      <c r="H138" s="7" t="s">
        <v>800</v>
      </c>
      <c r="I138" s="7" t="s">
        <v>952</v>
      </c>
      <c r="J138" s="7">
        <f t="shared" si="22"/>
        <v>8</v>
      </c>
      <c r="K138" s="9">
        <f t="shared" si="23"/>
        <v>80000</v>
      </c>
      <c r="L138" s="7">
        <v>4</v>
      </c>
      <c r="M138" s="9">
        <f t="shared" si="24"/>
        <v>320000</v>
      </c>
      <c r="N138" s="9">
        <f t="shared" si="25"/>
        <v>192000</v>
      </c>
      <c r="O138" s="7" t="s">
        <v>1006</v>
      </c>
      <c r="P138" s="10">
        <f t="shared" si="26"/>
        <v>0.12</v>
      </c>
      <c r="Q138" s="9">
        <f t="shared" si="27"/>
        <v>38400</v>
      </c>
      <c r="R138" s="9">
        <f t="shared" si="28"/>
        <v>281600</v>
      </c>
      <c r="S138" s="9" t="str">
        <f t="shared" si="29"/>
        <v>Profit</v>
      </c>
      <c r="T138" s="7" t="str">
        <f t="shared" si="30"/>
        <v>May</v>
      </c>
      <c r="U138" s="7">
        <f t="shared" si="31"/>
        <v>2025</v>
      </c>
      <c r="V138" s="7" t="str">
        <f t="shared" si="32"/>
        <v>30-35</v>
      </c>
    </row>
    <row r="139" spans="1:22" x14ac:dyDescent="0.3">
      <c r="A139" s="7" t="s">
        <v>156</v>
      </c>
      <c r="B139" s="8" t="s">
        <v>1160</v>
      </c>
      <c r="C139" s="8">
        <v>30</v>
      </c>
      <c r="D139" s="8" t="s">
        <v>720</v>
      </c>
      <c r="E139" s="8" t="s">
        <v>722</v>
      </c>
      <c r="F139" s="7" t="s">
        <v>1730</v>
      </c>
      <c r="G139" s="7" t="s">
        <v>793</v>
      </c>
      <c r="H139" s="7" t="s">
        <v>900</v>
      </c>
      <c r="I139" s="7" t="s">
        <v>866</v>
      </c>
      <c r="J139" s="7">
        <f t="shared" si="22"/>
        <v>5</v>
      </c>
      <c r="K139" s="9">
        <f t="shared" si="23"/>
        <v>60000</v>
      </c>
      <c r="L139" s="7">
        <v>4</v>
      </c>
      <c r="M139" s="9">
        <f t="shared" si="24"/>
        <v>240000</v>
      </c>
      <c r="N139" s="9">
        <f t="shared" si="25"/>
        <v>156000</v>
      </c>
      <c r="O139" s="7" t="s">
        <v>1007</v>
      </c>
      <c r="P139" s="10">
        <f t="shared" si="26"/>
        <v>0</v>
      </c>
      <c r="Q139" s="9">
        <f t="shared" si="27"/>
        <v>0</v>
      </c>
      <c r="R139" s="9">
        <f t="shared" si="28"/>
        <v>5000</v>
      </c>
      <c r="S139" s="9" t="str">
        <f t="shared" si="29"/>
        <v>Loss</v>
      </c>
      <c r="T139" s="7" t="str">
        <f t="shared" si="30"/>
        <v>Jul</v>
      </c>
      <c r="U139" s="7">
        <f t="shared" si="31"/>
        <v>2025</v>
      </c>
      <c r="V139" s="7" t="str">
        <f t="shared" si="32"/>
        <v>30-35</v>
      </c>
    </row>
    <row r="140" spans="1:22" x14ac:dyDescent="0.3">
      <c r="A140" s="7" t="s">
        <v>157</v>
      </c>
      <c r="B140" s="8" t="s">
        <v>1161</v>
      </c>
      <c r="C140" s="8">
        <v>53</v>
      </c>
      <c r="D140" s="8" t="s">
        <v>720</v>
      </c>
      <c r="E140" s="8" t="s">
        <v>723</v>
      </c>
      <c r="F140" s="7" t="s">
        <v>1730</v>
      </c>
      <c r="G140" s="7" t="s">
        <v>840</v>
      </c>
      <c r="H140" s="7" t="s">
        <v>911</v>
      </c>
      <c r="I140" s="7" t="s">
        <v>745</v>
      </c>
      <c r="J140" s="7">
        <f t="shared" si="22"/>
        <v>7</v>
      </c>
      <c r="K140" s="9">
        <f t="shared" si="23"/>
        <v>70000</v>
      </c>
      <c r="L140" s="7">
        <v>1</v>
      </c>
      <c r="M140" s="9">
        <f t="shared" si="24"/>
        <v>70000</v>
      </c>
      <c r="N140" s="9">
        <f t="shared" si="25"/>
        <v>42000</v>
      </c>
      <c r="O140" s="7" t="s">
        <v>1007</v>
      </c>
      <c r="P140" s="10">
        <f t="shared" si="26"/>
        <v>0</v>
      </c>
      <c r="Q140" s="9">
        <f t="shared" si="27"/>
        <v>0</v>
      </c>
      <c r="R140" s="9">
        <f t="shared" si="28"/>
        <v>5000</v>
      </c>
      <c r="S140" s="9" t="str">
        <f t="shared" si="29"/>
        <v>Loss</v>
      </c>
      <c r="T140" s="7" t="str">
        <f t="shared" si="30"/>
        <v>May</v>
      </c>
      <c r="U140" s="7">
        <f t="shared" si="31"/>
        <v>2025</v>
      </c>
      <c r="V140" s="7" t="str">
        <f t="shared" si="32"/>
        <v>50-55</v>
      </c>
    </row>
    <row r="141" spans="1:22" x14ac:dyDescent="0.3">
      <c r="A141" s="7" t="s">
        <v>158</v>
      </c>
      <c r="B141" s="8" t="s">
        <v>1162</v>
      </c>
      <c r="C141" s="8">
        <v>21</v>
      </c>
      <c r="D141" s="8" t="s">
        <v>720</v>
      </c>
      <c r="E141" s="8" t="s">
        <v>723</v>
      </c>
      <c r="F141" s="7" t="s">
        <v>733</v>
      </c>
      <c r="G141" s="7" t="s">
        <v>742</v>
      </c>
      <c r="H141" s="7" t="s">
        <v>840</v>
      </c>
      <c r="I141" s="7" t="s">
        <v>745</v>
      </c>
      <c r="J141" s="7">
        <f t="shared" si="22"/>
        <v>7</v>
      </c>
      <c r="K141" s="9">
        <f t="shared" si="23"/>
        <v>70000</v>
      </c>
      <c r="L141" s="7">
        <v>1</v>
      </c>
      <c r="M141" s="9">
        <f t="shared" si="24"/>
        <v>70000</v>
      </c>
      <c r="N141" s="9">
        <f t="shared" si="25"/>
        <v>42000</v>
      </c>
      <c r="O141" s="7" t="s">
        <v>1007</v>
      </c>
      <c r="P141" s="10">
        <f t="shared" si="26"/>
        <v>0</v>
      </c>
      <c r="Q141" s="9">
        <f t="shared" si="27"/>
        <v>0</v>
      </c>
      <c r="R141" s="9">
        <f t="shared" si="28"/>
        <v>5000</v>
      </c>
      <c r="S141" s="9" t="str">
        <f t="shared" si="29"/>
        <v>Loss</v>
      </c>
      <c r="T141" s="7" t="str">
        <f t="shared" si="30"/>
        <v>May</v>
      </c>
      <c r="U141" s="7">
        <f t="shared" si="31"/>
        <v>2025</v>
      </c>
      <c r="V141" s="7" t="str">
        <f t="shared" si="32"/>
        <v>20-25</v>
      </c>
    </row>
    <row r="142" spans="1:22" x14ac:dyDescent="0.3">
      <c r="A142" s="7" t="s">
        <v>159</v>
      </c>
      <c r="B142" s="8" t="s">
        <v>1163</v>
      </c>
      <c r="C142" s="8">
        <v>46</v>
      </c>
      <c r="D142" s="8" t="s">
        <v>721</v>
      </c>
      <c r="E142" s="8" t="s">
        <v>723</v>
      </c>
      <c r="F142" s="7" t="s">
        <v>727</v>
      </c>
      <c r="G142" s="7" t="s">
        <v>822</v>
      </c>
      <c r="H142" s="7" t="s">
        <v>794</v>
      </c>
      <c r="I142" s="7" t="s">
        <v>938</v>
      </c>
      <c r="J142" s="7">
        <f t="shared" si="22"/>
        <v>7</v>
      </c>
      <c r="K142" s="9">
        <f t="shared" si="23"/>
        <v>70000</v>
      </c>
      <c r="L142" s="7">
        <v>3</v>
      </c>
      <c r="M142" s="9">
        <f t="shared" si="24"/>
        <v>210000</v>
      </c>
      <c r="N142" s="9">
        <f t="shared" si="25"/>
        <v>126000</v>
      </c>
      <c r="O142" s="7" t="s">
        <v>1007</v>
      </c>
      <c r="P142" s="10">
        <f t="shared" si="26"/>
        <v>0</v>
      </c>
      <c r="Q142" s="9">
        <f t="shared" si="27"/>
        <v>0</v>
      </c>
      <c r="R142" s="9">
        <f t="shared" si="28"/>
        <v>5000</v>
      </c>
      <c r="S142" s="9" t="str">
        <f t="shared" si="29"/>
        <v>Loss</v>
      </c>
      <c r="T142" s="7" t="str">
        <f t="shared" si="30"/>
        <v>Jan</v>
      </c>
      <c r="U142" s="7">
        <f t="shared" si="31"/>
        <v>2025</v>
      </c>
      <c r="V142" s="7" t="str">
        <f t="shared" si="32"/>
        <v>45-50</v>
      </c>
    </row>
    <row r="143" spans="1:22" x14ac:dyDescent="0.3">
      <c r="A143" s="7" t="s">
        <v>160</v>
      </c>
      <c r="B143" s="8" t="s">
        <v>1164</v>
      </c>
      <c r="C143" s="8">
        <v>25</v>
      </c>
      <c r="D143" s="8" t="s">
        <v>721</v>
      </c>
      <c r="E143" s="8" t="s">
        <v>723</v>
      </c>
      <c r="F143" s="7" t="s">
        <v>733</v>
      </c>
      <c r="G143" s="7" t="s">
        <v>841</v>
      </c>
      <c r="H143" s="7" t="s">
        <v>974</v>
      </c>
      <c r="I143" s="7" t="s">
        <v>1003</v>
      </c>
      <c r="J143" s="7">
        <f t="shared" si="22"/>
        <v>7</v>
      </c>
      <c r="K143" s="9">
        <f t="shared" si="23"/>
        <v>70000</v>
      </c>
      <c r="L143" s="7">
        <v>3</v>
      </c>
      <c r="M143" s="9">
        <f t="shared" si="24"/>
        <v>210000</v>
      </c>
      <c r="N143" s="9">
        <f t="shared" si="25"/>
        <v>126000</v>
      </c>
      <c r="O143" s="7" t="s">
        <v>1007</v>
      </c>
      <c r="P143" s="10">
        <f t="shared" si="26"/>
        <v>0</v>
      </c>
      <c r="Q143" s="9">
        <f t="shared" si="27"/>
        <v>0</v>
      </c>
      <c r="R143" s="9">
        <f t="shared" si="28"/>
        <v>5000</v>
      </c>
      <c r="S143" s="9" t="str">
        <f t="shared" si="29"/>
        <v>Loss</v>
      </c>
      <c r="T143" s="7" t="str">
        <f t="shared" si="30"/>
        <v>Aug</v>
      </c>
      <c r="U143" s="7">
        <f t="shared" si="31"/>
        <v>2025</v>
      </c>
      <c r="V143" s="7" t="str">
        <f t="shared" si="32"/>
        <v>25-30</v>
      </c>
    </row>
    <row r="144" spans="1:22" x14ac:dyDescent="0.3">
      <c r="A144" s="7" t="s">
        <v>161</v>
      </c>
      <c r="B144" s="8" t="s">
        <v>1165</v>
      </c>
      <c r="C144" s="8">
        <v>44</v>
      </c>
      <c r="D144" s="8" t="s">
        <v>720</v>
      </c>
      <c r="E144" s="8" t="s">
        <v>724</v>
      </c>
      <c r="F144" s="7" t="s">
        <v>730</v>
      </c>
      <c r="G144" s="7" t="s">
        <v>842</v>
      </c>
      <c r="H144" s="7" t="s">
        <v>834</v>
      </c>
      <c r="I144" s="7" t="s">
        <v>927</v>
      </c>
      <c r="J144" s="7">
        <f t="shared" si="22"/>
        <v>10</v>
      </c>
      <c r="K144" s="9">
        <f t="shared" si="23"/>
        <v>120000</v>
      </c>
      <c r="L144" s="7">
        <v>1</v>
      </c>
      <c r="M144" s="9">
        <f t="shared" si="24"/>
        <v>120000</v>
      </c>
      <c r="N144" s="9">
        <f t="shared" si="25"/>
        <v>78000</v>
      </c>
      <c r="O144" s="7" t="s">
        <v>1007</v>
      </c>
      <c r="P144" s="10">
        <f t="shared" si="26"/>
        <v>0</v>
      </c>
      <c r="Q144" s="9">
        <f t="shared" si="27"/>
        <v>0</v>
      </c>
      <c r="R144" s="9">
        <f t="shared" si="28"/>
        <v>5000</v>
      </c>
      <c r="S144" s="9" t="str">
        <f t="shared" si="29"/>
        <v>Loss</v>
      </c>
      <c r="T144" s="7" t="str">
        <f t="shared" si="30"/>
        <v>May</v>
      </c>
      <c r="U144" s="7">
        <f t="shared" si="31"/>
        <v>2025</v>
      </c>
      <c r="V144" s="7" t="str">
        <f t="shared" si="32"/>
        <v>40-45</v>
      </c>
    </row>
    <row r="145" spans="1:22" x14ac:dyDescent="0.3">
      <c r="A145" s="7" t="s">
        <v>162</v>
      </c>
      <c r="B145" s="8" t="s">
        <v>1166</v>
      </c>
      <c r="C145" s="8">
        <v>54</v>
      </c>
      <c r="D145" s="8" t="s">
        <v>720</v>
      </c>
      <c r="E145" s="8" t="s">
        <v>726</v>
      </c>
      <c r="F145" s="7" t="s">
        <v>1730</v>
      </c>
      <c r="G145" s="7" t="s">
        <v>835</v>
      </c>
      <c r="H145" s="7" t="s">
        <v>899</v>
      </c>
      <c r="I145" s="7" t="s">
        <v>980</v>
      </c>
      <c r="J145" s="7">
        <f t="shared" si="22"/>
        <v>4</v>
      </c>
      <c r="K145" s="9">
        <f t="shared" si="23"/>
        <v>18000</v>
      </c>
      <c r="L145" s="7">
        <v>3</v>
      </c>
      <c r="M145" s="9">
        <f t="shared" si="24"/>
        <v>54000</v>
      </c>
      <c r="N145" s="9">
        <f t="shared" si="25"/>
        <v>27000</v>
      </c>
      <c r="O145" s="7" t="s">
        <v>1007</v>
      </c>
      <c r="P145" s="10">
        <f t="shared" si="26"/>
        <v>0</v>
      </c>
      <c r="Q145" s="9">
        <f t="shared" si="27"/>
        <v>0</v>
      </c>
      <c r="R145" s="9">
        <f t="shared" si="28"/>
        <v>5000</v>
      </c>
      <c r="S145" s="9" t="str">
        <f t="shared" si="29"/>
        <v>Loss</v>
      </c>
      <c r="T145" s="7" t="str">
        <f t="shared" si="30"/>
        <v>Aug</v>
      </c>
      <c r="U145" s="7">
        <f t="shared" si="31"/>
        <v>2025</v>
      </c>
      <c r="V145" s="7" t="str">
        <f t="shared" si="32"/>
        <v>50-55</v>
      </c>
    </row>
    <row r="146" spans="1:22" x14ac:dyDescent="0.3">
      <c r="A146" s="7" t="s">
        <v>163</v>
      </c>
      <c r="B146" s="8" t="s">
        <v>1167</v>
      </c>
      <c r="C146" s="8">
        <v>41</v>
      </c>
      <c r="D146" s="8" t="s">
        <v>721</v>
      </c>
      <c r="E146" s="8" t="s">
        <v>723</v>
      </c>
      <c r="F146" s="7" t="s">
        <v>727</v>
      </c>
      <c r="G146" s="7" t="s">
        <v>745</v>
      </c>
      <c r="H146" s="7" t="s">
        <v>924</v>
      </c>
      <c r="I146" s="7" t="s">
        <v>914</v>
      </c>
      <c r="J146" s="7">
        <f t="shared" si="22"/>
        <v>7</v>
      </c>
      <c r="K146" s="9">
        <f t="shared" si="23"/>
        <v>70000</v>
      </c>
      <c r="L146" s="7">
        <v>1</v>
      </c>
      <c r="M146" s="9">
        <f t="shared" si="24"/>
        <v>70000</v>
      </c>
      <c r="N146" s="9">
        <f t="shared" si="25"/>
        <v>42000</v>
      </c>
      <c r="O146" s="7" t="s">
        <v>1006</v>
      </c>
      <c r="P146" s="10">
        <f t="shared" si="26"/>
        <v>7.0000000000000007E-2</v>
      </c>
      <c r="Q146" s="9">
        <f t="shared" si="27"/>
        <v>4900.0000000000009</v>
      </c>
      <c r="R146" s="9">
        <f t="shared" si="28"/>
        <v>65100</v>
      </c>
      <c r="S146" s="9" t="str">
        <f t="shared" si="29"/>
        <v>Profit</v>
      </c>
      <c r="T146" s="7" t="str">
        <f t="shared" si="30"/>
        <v>Jun</v>
      </c>
      <c r="U146" s="7">
        <f t="shared" si="31"/>
        <v>2025</v>
      </c>
      <c r="V146" s="7" t="str">
        <f t="shared" si="32"/>
        <v>40-45</v>
      </c>
    </row>
    <row r="147" spans="1:22" x14ac:dyDescent="0.3">
      <c r="A147" s="7" t="s">
        <v>164</v>
      </c>
      <c r="B147" s="8" t="s">
        <v>1168</v>
      </c>
      <c r="C147" s="8">
        <v>28</v>
      </c>
      <c r="D147" s="8" t="s">
        <v>720</v>
      </c>
      <c r="E147" s="8" t="s">
        <v>725</v>
      </c>
      <c r="F147" s="7" t="s">
        <v>732</v>
      </c>
      <c r="G147" s="7" t="s">
        <v>843</v>
      </c>
      <c r="H147" s="7" t="s">
        <v>913</v>
      </c>
      <c r="I147" s="7" t="s">
        <v>857</v>
      </c>
      <c r="J147" s="7">
        <f t="shared" si="22"/>
        <v>8</v>
      </c>
      <c r="K147" s="9">
        <f t="shared" si="23"/>
        <v>80000</v>
      </c>
      <c r="L147" s="7">
        <v>2</v>
      </c>
      <c r="M147" s="9">
        <f t="shared" si="24"/>
        <v>160000</v>
      </c>
      <c r="N147" s="9">
        <f t="shared" si="25"/>
        <v>96000</v>
      </c>
      <c r="O147" s="7" t="s">
        <v>1006</v>
      </c>
      <c r="P147" s="10">
        <f t="shared" si="26"/>
        <v>0.12</v>
      </c>
      <c r="Q147" s="9">
        <f t="shared" si="27"/>
        <v>19200</v>
      </c>
      <c r="R147" s="9">
        <f t="shared" si="28"/>
        <v>140800</v>
      </c>
      <c r="S147" s="9" t="str">
        <f t="shared" si="29"/>
        <v>Profit</v>
      </c>
      <c r="T147" s="7" t="str">
        <f t="shared" si="30"/>
        <v>Jun</v>
      </c>
      <c r="U147" s="7">
        <f t="shared" si="31"/>
        <v>2025</v>
      </c>
      <c r="V147" s="7" t="str">
        <f t="shared" si="32"/>
        <v>25-30</v>
      </c>
    </row>
    <row r="148" spans="1:22" x14ac:dyDescent="0.3">
      <c r="A148" s="7" t="s">
        <v>165</v>
      </c>
      <c r="B148" s="8" t="s">
        <v>1169</v>
      </c>
      <c r="C148" s="8">
        <v>36</v>
      </c>
      <c r="D148" s="8" t="s">
        <v>721</v>
      </c>
      <c r="E148" s="8" t="s">
        <v>722</v>
      </c>
      <c r="F148" s="7" t="s">
        <v>732</v>
      </c>
      <c r="G148" s="7" t="s">
        <v>801</v>
      </c>
      <c r="H148" s="7" t="s">
        <v>962</v>
      </c>
      <c r="I148" s="7" t="s">
        <v>844</v>
      </c>
      <c r="J148" s="7">
        <f t="shared" si="22"/>
        <v>5</v>
      </c>
      <c r="K148" s="9">
        <f t="shared" si="23"/>
        <v>60000</v>
      </c>
      <c r="L148" s="7">
        <v>4</v>
      </c>
      <c r="M148" s="9">
        <f t="shared" si="24"/>
        <v>240000</v>
      </c>
      <c r="N148" s="9">
        <f t="shared" si="25"/>
        <v>156000</v>
      </c>
      <c r="O148" s="7" t="s">
        <v>1006</v>
      </c>
      <c r="P148" s="10">
        <f t="shared" si="26"/>
        <v>0.1</v>
      </c>
      <c r="Q148" s="9">
        <f t="shared" si="27"/>
        <v>24000</v>
      </c>
      <c r="R148" s="9">
        <f t="shared" si="28"/>
        <v>216000</v>
      </c>
      <c r="S148" s="9" t="str">
        <f t="shared" si="29"/>
        <v>Profit</v>
      </c>
      <c r="T148" s="7" t="str">
        <f t="shared" si="30"/>
        <v>May</v>
      </c>
      <c r="U148" s="7">
        <f t="shared" si="31"/>
        <v>2025</v>
      </c>
      <c r="V148" s="7" t="str">
        <f t="shared" si="32"/>
        <v>35-40</v>
      </c>
    </row>
    <row r="149" spans="1:22" x14ac:dyDescent="0.3">
      <c r="A149" s="7" t="s">
        <v>166</v>
      </c>
      <c r="B149" s="8" t="s">
        <v>1170</v>
      </c>
      <c r="C149" s="8">
        <v>24</v>
      </c>
      <c r="D149" s="8" t="s">
        <v>721</v>
      </c>
      <c r="E149" s="8" t="s">
        <v>725</v>
      </c>
      <c r="F149" s="7" t="s">
        <v>729</v>
      </c>
      <c r="G149" s="7" t="s">
        <v>812</v>
      </c>
      <c r="H149" s="7" t="s">
        <v>785</v>
      </c>
      <c r="I149" s="7" t="s">
        <v>955</v>
      </c>
      <c r="J149" s="7">
        <f t="shared" si="22"/>
        <v>8</v>
      </c>
      <c r="K149" s="9">
        <f t="shared" si="23"/>
        <v>80000</v>
      </c>
      <c r="L149" s="7">
        <v>2</v>
      </c>
      <c r="M149" s="9">
        <f t="shared" si="24"/>
        <v>160000</v>
      </c>
      <c r="N149" s="9">
        <f t="shared" si="25"/>
        <v>96000</v>
      </c>
      <c r="O149" s="7" t="s">
        <v>1007</v>
      </c>
      <c r="P149" s="10">
        <f t="shared" si="26"/>
        <v>0</v>
      </c>
      <c r="Q149" s="9">
        <f t="shared" si="27"/>
        <v>0</v>
      </c>
      <c r="R149" s="9">
        <f t="shared" si="28"/>
        <v>5000</v>
      </c>
      <c r="S149" s="9" t="str">
        <f t="shared" si="29"/>
        <v>Loss</v>
      </c>
      <c r="T149" s="7" t="str">
        <f t="shared" si="30"/>
        <v>Jul</v>
      </c>
      <c r="U149" s="7">
        <f t="shared" si="31"/>
        <v>2025</v>
      </c>
      <c r="V149" s="7" t="str">
        <f t="shared" si="32"/>
        <v>20-25</v>
      </c>
    </row>
    <row r="150" spans="1:22" x14ac:dyDescent="0.3">
      <c r="A150" s="7" t="s">
        <v>167</v>
      </c>
      <c r="B150" s="8" t="s">
        <v>1171</v>
      </c>
      <c r="C150" s="8">
        <v>51</v>
      </c>
      <c r="D150" s="8" t="s">
        <v>721</v>
      </c>
      <c r="E150" s="8" t="s">
        <v>723</v>
      </c>
      <c r="F150" s="7" t="s">
        <v>730</v>
      </c>
      <c r="G150" s="7" t="s">
        <v>751</v>
      </c>
      <c r="H150" s="7" t="s">
        <v>744</v>
      </c>
      <c r="I150" s="7" t="s">
        <v>781</v>
      </c>
      <c r="J150" s="7">
        <f t="shared" si="22"/>
        <v>7</v>
      </c>
      <c r="K150" s="9">
        <f t="shared" si="23"/>
        <v>70000</v>
      </c>
      <c r="L150" s="7">
        <v>3</v>
      </c>
      <c r="M150" s="9">
        <f t="shared" si="24"/>
        <v>210000</v>
      </c>
      <c r="N150" s="9">
        <f t="shared" si="25"/>
        <v>126000</v>
      </c>
      <c r="O150" s="7" t="s">
        <v>1007</v>
      </c>
      <c r="P150" s="10">
        <f t="shared" si="26"/>
        <v>0</v>
      </c>
      <c r="Q150" s="9">
        <f t="shared" si="27"/>
        <v>0</v>
      </c>
      <c r="R150" s="9">
        <f t="shared" si="28"/>
        <v>5000</v>
      </c>
      <c r="S150" s="9" t="str">
        <f t="shared" si="29"/>
        <v>Loss</v>
      </c>
      <c r="T150" s="7" t="str">
        <f t="shared" si="30"/>
        <v>Jan</v>
      </c>
      <c r="U150" s="7">
        <f t="shared" si="31"/>
        <v>2025</v>
      </c>
      <c r="V150" s="7" t="str">
        <f t="shared" si="32"/>
        <v>50-55</v>
      </c>
    </row>
    <row r="151" spans="1:22" x14ac:dyDescent="0.3">
      <c r="A151" s="7" t="s">
        <v>168</v>
      </c>
      <c r="B151" s="8" t="s">
        <v>1172</v>
      </c>
      <c r="C151" s="8">
        <v>54</v>
      </c>
      <c r="D151" s="8" t="s">
        <v>720</v>
      </c>
      <c r="E151" s="8" t="s">
        <v>723</v>
      </c>
      <c r="F151" s="7" t="s">
        <v>729</v>
      </c>
      <c r="G151" s="7" t="s">
        <v>844</v>
      </c>
      <c r="H151" s="7" t="s">
        <v>743</v>
      </c>
      <c r="I151" s="7" t="s">
        <v>891</v>
      </c>
      <c r="J151" s="7">
        <f t="shared" si="22"/>
        <v>7</v>
      </c>
      <c r="K151" s="9">
        <f t="shared" si="23"/>
        <v>70000</v>
      </c>
      <c r="L151" s="7">
        <v>2</v>
      </c>
      <c r="M151" s="9">
        <f t="shared" si="24"/>
        <v>140000</v>
      </c>
      <c r="N151" s="9">
        <f t="shared" si="25"/>
        <v>84000</v>
      </c>
      <c r="O151" s="7" t="s">
        <v>1006</v>
      </c>
      <c r="P151" s="10">
        <f t="shared" si="26"/>
        <v>7.0000000000000007E-2</v>
      </c>
      <c r="Q151" s="9">
        <f t="shared" si="27"/>
        <v>9800.0000000000018</v>
      </c>
      <c r="R151" s="9">
        <f t="shared" si="28"/>
        <v>130200</v>
      </c>
      <c r="S151" s="9" t="str">
        <f t="shared" si="29"/>
        <v>Profit</v>
      </c>
      <c r="T151" s="7" t="str">
        <f t="shared" si="30"/>
        <v>Jun</v>
      </c>
      <c r="U151" s="7">
        <f t="shared" si="31"/>
        <v>2025</v>
      </c>
      <c r="V151" s="7" t="str">
        <f t="shared" si="32"/>
        <v>50-55</v>
      </c>
    </row>
    <row r="152" spans="1:22" x14ac:dyDescent="0.3">
      <c r="A152" s="7" t="s">
        <v>169</v>
      </c>
      <c r="B152" s="8" t="s">
        <v>1173</v>
      </c>
      <c r="C152" s="8">
        <v>31</v>
      </c>
      <c r="D152" s="8" t="s">
        <v>720</v>
      </c>
      <c r="E152" s="8" t="s">
        <v>725</v>
      </c>
      <c r="F152" s="7" t="s">
        <v>728</v>
      </c>
      <c r="G152" s="7" t="s">
        <v>845</v>
      </c>
      <c r="H152" s="7" t="s">
        <v>854</v>
      </c>
      <c r="I152" s="7" t="s">
        <v>766</v>
      </c>
      <c r="J152" s="7">
        <f t="shared" si="22"/>
        <v>8</v>
      </c>
      <c r="K152" s="9">
        <f t="shared" si="23"/>
        <v>80000</v>
      </c>
      <c r="L152" s="7">
        <v>2</v>
      </c>
      <c r="M152" s="9">
        <f t="shared" si="24"/>
        <v>160000</v>
      </c>
      <c r="N152" s="9">
        <f t="shared" si="25"/>
        <v>96000</v>
      </c>
      <c r="O152" s="7" t="s">
        <v>1007</v>
      </c>
      <c r="P152" s="10">
        <f t="shared" si="26"/>
        <v>0</v>
      </c>
      <c r="Q152" s="9">
        <f t="shared" si="27"/>
        <v>0</v>
      </c>
      <c r="R152" s="9">
        <f t="shared" si="28"/>
        <v>5000</v>
      </c>
      <c r="S152" s="9" t="str">
        <f t="shared" si="29"/>
        <v>Loss</v>
      </c>
      <c r="T152" s="7" t="str">
        <f t="shared" si="30"/>
        <v>Apr</v>
      </c>
      <c r="U152" s="7">
        <f t="shared" si="31"/>
        <v>2025</v>
      </c>
      <c r="V152" s="7" t="str">
        <f t="shared" si="32"/>
        <v>30-35</v>
      </c>
    </row>
    <row r="153" spans="1:22" x14ac:dyDescent="0.3">
      <c r="A153" s="7" t="s">
        <v>170</v>
      </c>
      <c r="B153" s="8" t="s">
        <v>1174</v>
      </c>
      <c r="C153" s="8">
        <v>26</v>
      </c>
      <c r="D153" s="8" t="s">
        <v>721</v>
      </c>
      <c r="E153" s="8" t="s">
        <v>722</v>
      </c>
      <c r="F153" s="7" t="s">
        <v>730</v>
      </c>
      <c r="G153" s="7" t="s">
        <v>846</v>
      </c>
      <c r="H153" s="7" t="s">
        <v>746</v>
      </c>
      <c r="I153" s="7" t="s">
        <v>775</v>
      </c>
      <c r="J153" s="7">
        <f t="shared" si="22"/>
        <v>5</v>
      </c>
      <c r="K153" s="9">
        <f t="shared" si="23"/>
        <v>60000</v>
      </c>
      <c r="L153" s="7">
        <v>4</v>
      </c>
      <c r="M153" s="9">
        <f t="shared" si="24"/>
        <v>240000</v>
      </c>
      <c r="N153" s="9">
        <f t="shared" si="25"/>
        <v>156000</v>
      </c>
      <c r="O153" s="7" t="s">
        <v>1007</v>
      </c>
      <c r="P153" s="10">
        <f t="shared" si="26"/>
        <v>0</v>
      </c>
      <c r="Q153" s="9">
        <f t="shared" si="27"/>
        <v>0</v>
      </c>
      <c r="R153" s="9">
        <f t="shared" si="28"/>
        <v>5000</v>
      </c>
      <c r="S153" s="9" t="str">
        <f t="shared" si="29"/>
        <v>Loss</v>
      </c>
      <c r="T153" s="7" t="str">
        <f t="shared" si="30"/>
        <v>Apr</v>
      </c>
      <c r="U153" s="7">
        <f t="shared" si="31"/>
        <v>2025</v>
      </c>
      <c r="V153" s="7" t="str">
        <f t="shared" si="32"/>
        <v>25-30</v>
      </c>
    </row>
    <row r="154" spans="1:22" x14ac:dyDescent="0.3">
      <c r="A154" s="7" t="s">
        <v>171</v>
      </c>
      <c r="B154" s="8" t="s">
        <v>1175</v>
      </c>
      <c r="C154" s="8">
        <v>50</v>
      </c>
      <c r="D154" s="8" t="s">
        <v>721</v>
      </c>
      <c r="E154" s="8" t="s">
        <v>723</v>
      </c>
      <c r="F154" s="7" t="s">
        <v>733</v>
      </c>
      <c r="G154" s="7" t="s">
        <v>801</v>
      </c>
      <c r="H154" s="7" t="s">
        <v>829</v>
      </c>
      <c r="I154" s="7" t="s">
        <v>927</v>
      </c>
      <c r="J154" s="7">
        <f t="shared" si="22"/>
        <v>7</v>
      </c>
      <c r="K154" s="9">
        <f t="shared" si="23"/>
        <v>70000</v>
      </c>
      <c r="L154" s="7">
        <v>4</v>
      </c>
      <c r="M154" s="9">
        <f t="shared" si="24"/>
        <v>280000</v>
      </c>
      <c r="N154" s="9">
        <f t="shared" si="25"/>
        <v>168000</v>
      </c>
      <c r="O154" s="7" t="s">
        <v>1007</v>
      </c>
      <c r="P154" s="10">
        <f t="shared" si="26"/>
        <v>0</v>
      </c>
      <c r="Q154" s="9">
        <f t="shared" si="27"/>
        <v>0</v>
      </c>
      <c r="R154" s="9">
        <f t="shared" si="28"/>
        <v>5000</v>
      </c>
      <c r="S154" s="9" t="str">
        <f t="shared" si="29"/>
        <v>Loss</v>
      </c>
      <c r="T154" s="7" t="str">
        <f t="shared" si="30"/>
        <v>May</v>
      </c>
      <c r="U154" s="7">
        <f t="shared" si="31"/>
        <v>2025</v>
      </c>
      <c r="V154" s="7" t="str">
        <f t="shared" si="32"/>
        <v>50-55</v>
      </c>
    </row>
    <row r="155" spans="1:22" x14ac:dyDescent="0.3">
      <c r="A155" s="7" t="s">
        <v>172</v>
      </c>
      <c r="B155" s="8" t="s">
        <v>1176</v>
      </c>
      <c r="C155" s="8">
        <v>27</v>
      </c>
      <c r="D155" s="8" t="s">
        <v>720</v>
      </c>
      <c r="E155" s="8" t="s">
        <v>725</v>
      </c>
      <c r="F155" s="7" t="s">
        <v>730</v>
      </c>
      <c r="G155" s="7" t="s">
        <v>796</v>
      </c>
      <c r="H155" s="7" t="s">
        <v>959</v>
      </c>
      <c r="I155" s="7" t="s">
        <v>793</v>
      </c>
      <c r="J155" s="7">
        <f t="shared" si="22"/>
        <v>8</v>
      </c>
      <c r="K155" s="9">
        <f t="shared" si="23"/>
        <v>80000</v>
      </c>
      <c r="L155" s="7">
        <v>2</v>
      </c>
      <c r="M155" s="9">
        <f t="shared" si="24"/>
        <v>160000</v>
      </c>
      <c r="N155" s="9">
        <f t="shared" si="25"/>
        <v>96000</v>
      </c>
      <c r="O155" s="7" t="s">
        <v>1006</v>
      </c>
      <c r="P155" s="10">
        <f t="shared" si="26"/>
        <v>0.12</v>
      </c>
      <c r="Q155" s="9">
        <f t="shared" si="27"/>
        <v>19200</v>
      </c>
      <c r="R155" s="9">
        <f t="shared" si="28"/>
        <v>140800</v>
      </c>
      <c r="S155" s="9" t="str">
        <f t="shared" si="29"/>
        <v>Profit</v>
      </c>
      <c r="T155" s="7" t="str">
        <f t="shared" si="30"/>
        <v>Jul</v>
      </c>
      <c r="U155" s="7">
        <f t="shared" si="31"/>
        <v>2025</v>
      </c>
      <c r="V155" s="7" t="str">
        <f t="shared" si="32"/>
        <v>25-30</v>
      </c>
    </row>
    <row r="156" spans="1:22" x14ac:dyDescent="0.3">
      <c r="A156" s="7" t="s">
        <v>173</v>
      </c>
      <c r="B156" s="8" t="s">
        <v>1177</v>
      </c>
      <c r="C156" s="8">
        <v>27</v>
      </c>
      <c r="D156" s="8" t="s">
        <v>721</v>
      </c>
      <c r="E156" s="8" t="s">
        <v>725</v>
      </c>
      <c r="F156" s="7" t="s">
        <v>730</v>
      </c>
      <c r="G156" s="7" t="s">
        <v>737</v>
      </c>
      <c r="H156" s="7" t="s">
        <v>794</v>
      </c>
      <c r="I156" s="7" t="s">
        <v>934</v>
      </c>
      <c r="J156" s="7">
        <f t="shared" si="22"/>
        <v>8</v>
      </c>
      <c r="K156" s="9">
        <f t="shared" si="23"/>
        <v>80000</v>
      </c>
      <c r="L156" s="7">
        <v>2</v>
      </c>
      <c r="M156" s="9">
        <f t="shared" si="24"/>
        <v>160000</v>
      </c>
      <c r="N156" s="9">
        <f t="shared" si="25"/>
        <v>96000</v>
      </c>
      <c r="O156" s="7" t="s">
        <v>1007</v>
      </c>
      <c r="P156" s="10">
        <f t="shared" si="26"/>
        <v>0</v>
      </c>
      <c r="Q156" s="9">
        <f t="shared" si="27"/>
        <v>0</v>
      </c>
      <c r="R156" s="9">
        <f t="shared" si="28"/>
        <v>5000</v>
      </c>
      <c r="S156" s="9" t="str">
        <f t="shared" si="29"/>
        <v>Loss</v>
      </c>
      <c r="T156" s="7" t="str">
        <f t="shared" si="30"/>
        <v>Jan</v>
      </c>
      <c r="U156" s="7">
        <f t="shared" si="31"/>
        <v>2025</v>
      </c>
      <c r="V156" s="7" t="str">
        <f t="shared" si="32"/>
        <v>25-30</v>
      </c>
    </row>
    <row r="157" spans="1:22" x14ac:dyDescent="0.3">
      <c r="A157" s="7" t="s">
        <v>174</v>
      </c>
      <c r="B157" s="8" t="s">
        <v>1178</v>
      </c>
      <c r="C157" s="8">
        <v>26</v>
      </c>
      <c r="D157" s="8" t="s">
        <v>720</v>
      </c>
      <c r="E157" s="8" t="s">
        <v>725</v>
      </c>
      <c r="F157" s="7" t="s">
        <v>731</v>
      </c>
      <c r="G157" s="7" t="s">
        <v>847</v>
      </c>
      <c r="H157" s="7" t="s">
        <v>954</v>
      </c>
      <c r="I157" s="7" t="s">
        <v>753</v>
      </c>
      <c r="J157" s="7">
        <f t="shared" si="22"/>
        <v>8</v>
      </c>
      <c r="K157" s="9">
        <f t="shared" si="23"/>
        <v>80000</v>
      </c>
      <c r="L157" s="7">
        <v>2</v>
      </c>
      <c r="M157" s="9">
        <f t="shared" si="24"/>
        <v>160000</v>
      </c>
      <c r="N157" s="9">
        <f t="shared" si="25"/>
        <v>96000</v>
      </c>
      <c r="O157" s="7" t="s">
        <v>1007</v>
      </c>
      <c r="P157" s="10">
        <f t="shared" si="26"/>
        <v>0</v>
      </c>
      <c r="Q157" s="9">
        <f t="shared" si="27"/>
        <v>0</v>
      </c>
      <c r="R157" s="9">
        <f t="shared" si="28"/>
        <v>5000</v>
      </c>
      <c r="S157" s="9" t="str">
        <f t="shared" si="29"/>
        <v>Loss</v>
      </c>
      <c r="T157" s="7" t="str">
        <f t="shared" si="30"/>
        <v>Jul</v>
      </c>
      <c r="U157" s="7">
        <f t="shared" si="31"/>
        <v>2025</v>
      </c>
      <c r="V157" s="7" t="str">
        <f t="shared" si="32"/>
        <v>25-30</v>
      </c>
    </row>
    <row r="158" spans="1:22" x14ac:dyDescent="0.3">
      <c r="A158" s="7" t="s">
        <v>175</v>
      </c>
      <c r="B158" s="8" t="s">
        <v>1179</v>
      </c>
      <c r="C158" s="8">
        <v>38</v>
      </c>
      <c r="D158" s="8" t="s">
        <v>721</v>
      </c>
      <c r="E158" s="8" t="s">
        <v>726</v>
      </c>
      <c r="F158" s="7" t="s">
        <v>1731</v>
      </c>
      <c r="G158" s="7" t="s">
        <v>848</v>
      </c>
      <c r="H158" s="7" t="s">
        <v>889</v>
      </c>
      <c r="I158" s="7" t="s">
        <v>742</v>
      </c>
      <c r="J158" s="7">
        <f t="shared" si="22"/>
        <v>4</v>
      </c>
      <c r="K158" s="9">
        <f t="shared" si="23"/>
        <v>18000</v>
      </c>
      <c r="L158" s="7">
        <v>3</v>
      </c>
      <c r="M158" s="9">
        <f t="shared" si="24"/>
        <v>54000</v>
      </c>
      <c r="N158" s="9">
        <f t="shared" si="25"/>
        <v>27000</v>
      </c>
      <c r="O158" s="7" t="s">
        <v>1006</v>
      </c>
      <c r="P158" s="10">
        <f t="shared" si="26"/>
        <v>0.05</v>
      </c>
      <c r="Q158" s="9">
        <f t="shared" si="27"/>
        <v>2700</v>
      </c>
      <c r="R158" s="9">
        <f t="shared" si="28"/>
        <v>51300</v>
      </c>
      <c r="S158" s="9" t="str">
        <f t="shared" si="29"/>
        <v>Profit</v>
      </c>
      <c r="T158" s="7" t="str">
        <f t="shared" si="30"/>
        <v>Mar</v>
      </c>
      <c r="U158" s="7">
        <f t="shared" si="31"/>
        <v>2025</v>
      </c>
      <c r="V158" s="7" t="str">
        <f t="shared" si="32"/>
        <v>35-40</v>
      </c>
    </row>
    <row r="159" spans="1:22" x14ac:dyDescent="0.3">
      <c r="A159" s="7" t="s">
        <v>176</v>
      </c>
      <c r="B159" s="8" t="s">
        <v>1180</v>
      </c>
      <c r="C159" s="8">
        <v>29</v>
      </c>
      <c r="D159" s="8" t="s">
        <v>720</v>
      </c>
      <c r="E159" s="8" t="s">
        <v>723</v>
      </c>
      <c r="F159" s="7" t="s">
        <v>734</v>
      </c>
      <c r="G159" s="7" t="s">
        <v>809</v>
      </c>
      <c r="H159" s="7" t="s">
        <v>824</v>
      </c>
      <c r="I159" s="7" t="s">
        <v>829</v>
      </c>
      <c r="J159" s="7">
        <f t="shared" si="22"/>
        <v>7</v>
      </c>
      <c r="K159" s="9">
        <f t="shared" si="23"/>
        <v>70000</v>
      </c>
      <c r="L159" s="7">
        <v>1</v>
      </c>
      <c r="M159" s="9">
        <f t="shared" si="24"/>
        <v>70000</v>
      </c>
      <c r="N159" s="9">
        <f t="shared" si="25"/>
        <v>42000</v>
      </c>
      <c r="O159" s="7" t="s">
        <v>1006</v>
      </c>
      <c r="P159" s="10">
        <f t="shared" si="26"/>
        <v>7.0000000000000007E-2</v>
      </c>
      <c r="Q159" s="9">
        <f t="shared" si="27"/>
        <v>4900.0000000000009</v>
      </c>
      <c r="R159" s="9">
        <f t="shared" si="28"/>
        <v>65100</v>
      </c>
      <c r="S159" s="9" t="str">
        <f t="shared" si="29"/>
        <v>Profit</v>
      </c>
      <c r="T159" s="7" t="str">
        <f t="shared" si="30"/>
        <v>May</v>
      </c>
      <c r="U159" s="7">
        <f t="shared" si="31"/>
        <v>2025</v>
      </c>
      <c r="V159" s="7" t="str">
        <f t="shared" si="32"/>
        <v>25-30</v>
      </c>
    </row>
    <row r="160" spans="1:22" x14ac:dyDescent="0.3">
      <c r="A160" s="7" t="s">
        <v>177</v>
      </c>
      <c r="B160" s="8" t="s">
        <v>1181</v>
      </c>
      <c r="C160" s="8">
        <v>43</v>
      </c>
      <c r="D160" s="8" t="s">
        <v>720</v>
      </c>
      <c r="E160" s="8" t="s">
        <v>723</v>
      </c>
      <c r="F160" s="7" t="s">
        <v>733</v>
      </c>
      <c r="G160" s="7" t="s">
        <v>806</v>
      </c>
      <c r="H160" s="7" t="s">
        <v>887</v>
      </c>
      <c r="I160" s="7" t="s">
        <v>896</v>
      </c>
      <c r="J160" s="7">
        <f t="shared" si="22"/>
        <v>7</v>
      </c>
      <c r="K160" s="9">
        <f t="shared" si="23"/>
        <v>70000</v>
      </c>
      <c r="L160" s="7">
        <v>4</v>
      </c>
      <c r="M160" s="9">
        <f t="shared" si="24"/>
        <v>280000</v>
      </c>
      <c r="N160" s="9">
        <f t="shared" si="25"/>
        <v>168000</v>
      </c>
      <c r="O160" s="7" t="s">
        <v>1006</v>
      </c>
      <c r="P160" s="10">
        <f t="shared" si="26"/>
        <v>7.0000000000000007E-2</v>
      </c>
      <c r="Q160" s="9">
        <f t="shared" si="27"/>
        <v>19600.000000000004</v>
      </c>
      <c r="R160" s="9">
        <f t="shared" si="28"/>
        <v>260400</v>
      </c>
      <c r="S160" s="9" t="str">
        <f t="shared" si="29"/>
        <v>Profit</v>
      </c>
      <c r="T160" s="7" t="str">
        <f t="shared" si="30"/>
        <v>Feb</v>
      </c>
      <c r="U160" s="7">
        <f t="shared" si="31"/>
        <v>2025</v>
      </c>
      <c r="V160" s="7" t="str">
        <f t="shared" si="32"/>
        <v>40-45</v>
      </c>
    </row>
    <row r="161" spans="1:22" x14ac:dyDescent="0.3">
      <c r="A161" s="7" t="s">
        <v>178</v>
      </c>
      <c r="B161" s="8" t="s">
        <v>1182</v>
      </c>
      <c r="C161" s="8">
        <v>47</v>
      </c>
      <c r="D161" s="8" t="s">
        <v>721</v>
      </c>
      <c r="E161" s="8" t="s">
        <v>724</v>
      </c>
      <c r="F161" s="7" t="s">
        <v>730</v>
      </c>
      <c r="G161" s="7" t="s">
        <v>797</v>
      </c>
      <c r="H161" s="7" t="s">
        <v>805</v>
      </c>
      <c r="I161" s="7" t="s">
        <v>842</v>
      </c>
      <c r="J161" s="7">
        <f t="shared" si="22"/>
        <v>10</v>
      </c>
      <c r="K161" s="9">
        <f t="shared" si="23"/>
        <v>120000</v>
      </c>
      <c r="L161" s="7">
        <v>2</v>
      </c>
      <c r="M161" s="9">
        <f t="shared" si="24"/>
        <v>240000</v>
      </c>
      <c r="N161" s="9">
        <f t="shared" si="25"/>
        <v>156000</v>
      </c>
      <c r="O161" s="7" t="s">
        <v>1006</v>
      </c>
      <c r="P161" s="10">
        <f t="shared" si="26"/>
        <v>0.15</v>
      </c>
      <c r="Q161" s="9">
        <f t="shared" si="27"/>
        <v>36000</v>
      </c>
      <c r="R161" s="9">
        <f t="shared" si="28"/>
        <v>204000</v>
      </c>
      <c r="S161" s="9" t="str">
        <f t="shared" si="29"/>
        <v>Profit</v>
      </c>
      <c r="T161" s="7" t="str">
        <f t="shared" si="30"/>
        <v>Apr</v>
      </c>
      <c r="U161" s="7">
        <f t="shared" si="31"/>
        <v>2025</v>
      </c>
      <c r="V161" s="7" t="str">
        <f t="shared" si="32"/>
        <v>45-50</v>
      </c>
    </row>
    <row r="162" spans="1:22" x14ac:dyDescent="0.3">
      <c r="A162" s="7" t="s">
        <v>179</v>
      </c>
      <c r="B162" s="8" t="s">
        <v>1183</v>
      </c>
      <c r="C162" s="8">
        <v>49</v>
      </c>
      <c r="D162" s="8" t="s">
        <v>721</v>
      </c>
      <c r="E162" s="8" t="s">
        <v>724</v>
      </c>
      <c r="F162" s="7" t="s">
        <v>1735</v>
      </c>
      <c r="G162" s="7" t="s">
        <v>744</v>
      </c>
      <c r="H162" s="7" t="s">
        <v>882</v>
      </c>
      <c r="I162" s="7" t="s">
        <v>874</v>
      </c>
      <c r="J162" s="7">
        <f t="shared" si="22"/>
        <v>10</v>
      </c>
      <c r="K162" s="9">
        <f t="shared" si="23"/>
        <v>120000</v>
      </c>
      <c r="L162" s="7">
        <v>4</v>
      </c>
      <c r="M162" s="9">
        <f t="shared" si="24"/>
        <v>480000</v>
      </c>
      <c r="N162" s="9">
        <f t="shared" si="25"/>
        <v>312000</v>
      </c>
      <c r="O162" s="7" t="s">
        <v>1007</v>
      </c>
      <c r="P162" s="10">
        <f t="shared" si="26"/>
        <v>0</v>
      </c>
      <c r="Q162" s="9">
        <f t="shared" si="27"/>
        <v>0</v>
      </c>
      <c r="R162" s="9">
        <f t="shared" si="28"/>
        <v>5000</v>
      </c>
      <c r="S162" s="9" t="str">
        <f t="shared" si="29"/>
        <v>Loss</v>
      </c>
      <c r="T162" s="7" t="str">
        <f t="shared" si="30"/>
        <v>Jan</v>
      </c>
      <c r="U162" s="7">
        <f t="shared" si="31"/>
        <v>2025</v>
      </c>
      <c r="V162" s="7" t="str">
        <f t="shared" si="32"/>
        <v>45-50</v>
      </c>
    </row>
    <row r="163" spans="1:22" x14ac:dyDescent="0.3">
      <c r="A163" s="7" t="s">
        <v>180</v>
      </c>
      <c r="B163" s="8" t="s">
        <v>1184</v>
      </c>
      <c r="C163" s="8">
        <v>46</v>
      </c>
      <c r="D163" s="8" t="s">
        <v>720</v>
      </c>
      <c r="E163" s="8" t="s">
        <v>726</v>
      </c>
      <c r="F163" s="7" t="s">
        <v>732</v>
      </c>
      <c r="G163" s="7" t="s">
        <v>849</v>
      </c>
      <c r="H163" s="7" t="s">
        <v>798</v>
      </c>
      <c r="I163" s="7" t="s">
        <v>803</v>
      </c>
      <c r="J163" s="7">
        <f t="shared" si="22"/>
        <v>4</v>
      </c>
      <c r="K163" s="9">
        <f t="shared" si="23"/>
        <v>18000</v>
      </c>
      <c r="L163" s="7">
        <v>1</v>
      </c>
      <c r="M163" s="9">
        <f t="shared" si="24"/>
        <v>18000</v>
      </c>
      <c r="N163" s="9">
        <f t="shared" si="25"/>
        <v>9000</v>
      </c>
      <c r="O163" s="7" t="s">
        <v>1006</v>
      </c>
      <c r="P163" s="10">
        <f t="shared" si="26"/>
        <v>0.05</v>
      </c>
      <c r="Q163" s="9">
        <f t="shared" si="27"/>
        <v>900</v>
      </c>
      <c r="R163" s="9">
        <f t="shared" si="28"/>
        <v>17100</v>
      </c>
      <c r="S163" s="9" t="str">
        <f t="shared" si="29"/>
        <v>Profit</v>
      </c>
      <c r="T163" s="7" t="str">
        <f t="shared" si="30"/>
        <v>Jan</v>
      </c>
      <c r="U163" s="7">
        <f t="shared" si="31"/>
        <v>2025</v>
      </c>
      <c r="V163" s="7" t="str">
        <f t="shared" si="32"/>
        <v>45-50</v>
      </c>
    </row>
    <row r="164" spans="1:22" x14ac:dyDescent="0.3">
      <c r="A164" s="7" t="s">
        <v>181</v>
      </c>
      <c r="B164" s="8" t="s">
        <v>1185</v>
      </c>
      <c r="C164" s="8">
        <v>44</v>
      </c>
      <c r="D164" s="8" t="s">
        <v>721</v>
      </c>
      <c r="E164" s="8" t="s">
        <v>726</v>
      </c>
      <c r="F164" s="7" t="s">
        <v>1730</v>
      </c>
      <c r="G164" s="7" t="s">
        <v>850</v>
      </c>
      <c r="H164" s="7" t="s">
        <v>964</v>
      </c>
      <c r="I164" s="7" t="s">
        <v>916</v>
      </c>
      <c r="J164" s="7">
        <f t="shared" si="22"/>
        <v>4</v>
      </c>
      <c r="K164" s="9">
        <f t="shared" si="23"/>
        <v>18000</v>
      </c>
      <c r="L164" s="7">
        <v>3</v>
      </c>
      <c r="M164" s="9">
        <f t="shared" si="24"/>
        <v>54000</v>
      </c>
      <c r="N164" s="9">
        <f t="shared" si="25"/>
        <v>27000</v>
      </c>
      <c r="O164" s="7" t="s">
        <v>1007</v>
      </c>
      <c r="P164" s="10">
        <f t="shared" si="26"/>
        <v>0</v>
      </c>
      <c r="Q164" s="9">
        <f t="shared" si="27"/>
        <v>0</v>
      </c>
      <c r="R164" s="9">
        <f t="shared" si="28"/>
        <v>5000</v>
      </c>
      <c r="S164" s="9" t="str">
        <f t="shared" si="29"/>
        <v>Loss</v>
      </c>
      <c r="T164" s="7" t="str">
        <f t="shared" si="30"/>
        <v>May</v>
      </c>
      <c r="U164" s="7">
        <f t="shared" si="31"/>
        <v>2025</v>
      </c>
      <c r="V164" s="7" t="str">
        <f t="shared" si="32"/>
        <v>40-45</v>
      </c>
    </row>
    <row r="165" spans="1:22" x14ac:dyDescent="0.3">
      <c r="A165" s="7" t="s">
        <v>182</v>
      </c>
      <c r="B165" s="8" t="s">
        <v>1186</v>
      </c>
      <c r="C165" s="8">
        <v>42</v>
      </c>
      <c r="D165" s="8" t="s">
        <v>721</v>
      </c>
      <c r="E165" s="8" t="s">
        <v>726</v>
      </c>
      <c r="F165" s="7" t="s">
        <v>728</v>
      </c>
      <c r="G165" s="7" t="s">
        <v>851</v>
      </c>
      <c r="H165" s="7" t="s">
        <v>975</v>
      </c>
      <c r="I165" s="7" t="s">
        <v>937</v>
      </c>
      <c r="J165" s="7">
        <f t="shared" si="22"/>
        <v>4</v>
      </c>
      <c r="K165" s="9">
        <f t="shared" si="23"/>
        <v>18000</v>
      </c>
      <c r="L165" s="7">
        <v>1</v>
      </c>
      <c r="M165" s="9">
        <f t="shared" si="24"/>
        <v>18000</v>
      </c>
      <c r="N165" s="9">
        <f t="shared" si="25"/>
        <v>9000</v>
      </c>
      <c r="O165" s="7" t="s">
        <v>1007</v>
      </c>
      <c r="P165" s="10">
        <f t="shared" si="26"/>
        <v>0</v>
      </c>
      <c r="Q165" s="9">
        <f t="shared" si="27"/>
        <v>0</v>
      </c>
      <c r="R165" s="9">
        <f t="shared" si="28"/>
        <v>5000</v>
      </c>
      <c r="S165" s="9" t="str">
        <f t="shared" si="29"/>
        <v>Loss</v>
      </c>
      <c r="T165" s="7" t="str">
        <f t="shared" si="30"/>
        <v>Feb</v>
      </c>
      <c r="U165" s="7">
        <f t="shared" si="31"/>
        <v>2025</v>
      </c>
      <c r="V165" s="7" t="str">
        <f t="shared" si="32"/>
        <v>40-45</v>
      </c>
    </row>
    <row r="166" spans="1:22" x14ac:dyDescent="0.3">
      <c r="A166" s="7" t="s">
        <v>183</v>
      </c>
      <c r="B166" s="8" t="s">
        <v>1187</v>
      </c>
      <c r="C166" s="8">
        <v>39</v>
      </c>
      <c r="D166" s="8" t="s">
        <v>721</v>
      </c>
      <c r="E166" s="8" t="s">
        <v>726</v>
      </c>
      <c r="F166" s="7" t="s">
        <v>732</v>
      </c>
      <c r="G166" s="7" t="s">
        <v>852</v>
      </c>
      <c r="H166" s="7" t="s">
        <v>845</v>
      </c>
      <c r="I166" s="7" t="s">
        <v>767</v>
      </c>
      <c r="J166" s="7">
        <f t="shared" si="22"/>
        <v>4</v>
      </c>
      <c r="K166" s="9">
        <f t="shared" si="23"/>
        <v>18000</v>
      </c>
      <c r="L166" s="7">
        <v>3</v>
      </c>
      <c r="M166" s="9">
        <f t="shared" si="24"/>
        <v>54000</v>
      </c>
      <c r="N166" s="9">
        <f t="shared" si="25"/>
        <v>27000</v>
      </c>
      <c r="O166" s="7" t="s">
        <v>1006</v>
      </c>
      <c r="P166" s="10">
        <f t="shared" si="26"/>
        <v>0.05</v>
      </c>
      <c r="Q166" s="9">
        <f t="shared" si="27"/>
        <v>2700</v>
      </c>
      <c r="R166" s="9">
        <f t="shared" si="28"/>
        <v>51300</v>
      </c>
      <c r="S166" s="9" t="str">
        <f t="shared" si="29"/>
        <v>Profit</v>
      </c>
      <c r="T166" s="7" t="str">
        <f t="shared" si="30"/>
        <v>Mar</v>
      </c>
      <c r="U166" s="7">
        <f t="shared" si="31"/>
        <v>2025</v>
      </c>
      <c r="V166" s="7" t="str">
        <f t="shared" si="32"/>
        <v>35-40</v>
      </c>
    </row>
    <row r="167" spans="1:22" x14ac:dyDescent="0.3">
      <c r="A167" s="7" t="s">
        <v>184</v>
      </c>
      <c r="B167" s="8" t="s">
        <v>1188</v>
      </c>
      <c r="C167" s="8">
        <v>30</v>
      </c>
      <c r="D167" s="8" t="s">
        <v>721</v>
      </c>
      <c r="E167" s="8" t="s">
        <v>722</v>
      </c>
      <c r="F167" s="7" t="s">
        <v>733</v>
      </c>
      <c r="G167" s="7" t="s">
        <v>780</v>
      </c>
      <c r="H167" s="7" t="s">
        <v>905</v>
      </c>
      <c r="I167" s="7" t="s">
        <v>895</v>
      </c>
      <c r="J167" s="7">
        <f t="shared" si="22"/>
        <v>5</v>
      </c>
      <c r="K167" s="9">
        <f t="shared" si="23"/>
        <v>60000</v>
      </c>
      <c r="L167" s="7">
        <v>3</v>
      </c>
      <c r="M167" s="9">
        <f t="shared" si="24"/>
        <v>180000</v>
      </c>
      <c r="N167" s="9">
        <f t="shared" si="25"/>
        <v>117000</v>
      </c>
      <c r="O167" s="7" t="s">
        <v>1007</v>
      </c>
      <c r="P167" s="10">
        <f t="shared" si="26"/>
        <v>0</v>
      </c>
      <c r="Q167" s="9">
        <f t="shared" si="27"/>
        <v>0</v>
      </c>
      <c r="R167" s="9">
        <f t="shared" si="28"/>
        <v>5000</v>
      </c>
      <c r="S167" s="9" t="str">
        <f t="shared" si="29"/>
        <v>Loss</v>
      </c>
      <c r="T167" s="7" t="str">
        <f t="shared" si="30"/>
        <v>Jul</v>
      </c>
      <c r="U167" s="7">
        <f t="shared" si="31"/>
        <v>2025</v>
      </c>
      <c r="V167" s="7" t="str">
        <f t="shared" si="32"/>
        <v>30-35</v>
      </c>
    </row>
    <row r="168" spans="1:22" x14ac:dyDescent="0.3">
      <c r="A168" s="7" t="s">
        <v>185</v>
      </c>
      <c r="B168" s="8" t="s">
        <v>1189</v>
      </c>
      <c r="C168" s="8">
        <v>19</v>
      </c>
      <c r="D168" s="8" t="s">
        <v>721</v>
      </c>
      <c r="E168" s="8" t="s">
        <v>724</v>
      </c>
      <c r="F168" s="7" t="s">
        <v>729</v>
      </c>
      <c r="G168" s="7" t="s">
        <v>834</v>
      </c>
      <c r="H168" s="7" t="s">
        <v>736</v>
      </c>
      <c r="I168" s="7" t="s">
        <v>913</v>
      </c>
      <c r="J168" s="7">
        <f t="shared" si="22"/>
        <v>10</v>
      </c>
      <c r="K168" s="9">
        <f t="shared" si="23"/>
        <v>120000</v>
      </c>
      <c r="L168" s="7">
        <v>1</v>
      </c>
      <c r="M168" s="9">
        <f t="shared" si="24"/>
        <v>120000</v>
      </c>
      <c r="N168" s="9">
        <f t="shared" si="25"/>
        <v>78000</v>
      </c>
      <c r="O168" s="7" t="s">
        <v>1007</v>
      </c>
      <c r="P168" s="10">
        <f t="shared" si="26"/>
        <v>0</v>
      </c>
      <c r="Q168" s="9">
        <f t="shared" si="27"/>
        <v>0</v>
      </c>
      <c r="R168" s="9">
        <f t="shared" si="28"/>
        <v>5000</v>
      </c>
      <c r="S168" s="9" t="str">
        <f t="shared" si="29"/>
        <v>Loss</v>
      </c>
      <c r="T168" s="7" t="str">
        <f t="shared" si="30"/>
        <v>Jun</v>
      </c>
      <c r="U168" s="7">
        <f t="shared" si="31"/>
        <v>2025</v>
      </c>
      <c r="V168" s="7" t="str">
        <f t="shared" si="32"/>
        <v>15-20</v>
      </c>
    </row>
    <row r="169" spans="1:22" x14ac:dyDescent="0.3">
      <c r="A169" s="7" t="s">
        <v>186</v>
      </c>
      <c r="B169" s="8" t="s">
        <v>1190</v>
      </c>
      <c r="C169" s="8">
        <v>25</v>
      </c>
      <c r="D169" s="8" t="s">
        <v>720</v>
      </c>
      <c r="E169" s="8" t="s">
        <v>725</v>
      </c>
      <c r="F169" s="7" t="s">
        <v>733</v>
      </c>
      <c r="G169" s="7" t="s">
        <v>771</v>
      </c>
      <c r="H169" s="7" t="s">
        <v>912</v>
      </c>
      <c r="I169" s="7" t="s">
        <v>827</v>
      </c>
      <c r="J169" s="7">
        <f t="shared" si="22"/>
        <v>8</v>
      </c>
      <c r="K169" s="9">
        <f t="shared" si="23"/>
        <v>80000</v>
      </c>
      <c r="L169" s="7">
        <v>2</v>
      </c>
      <c r="M169" s="9">
        <f t="shared" si="24"/>
        <v>160000</v>
      </c>
      <c r="N169" s="9">
        <f t="shared" si="25"/>
        <v>96000</v>
      </c>
      <c r="O169" s="7" t="s">
        <v>1006</v>
      </c>
      <c r="P169" s="10">
        <f t="shared" si="26"/>
        <v>0.12</v>
      </c>
      <c r="Q169" s="9">
        <f t="shared" si="27"/>
        <v>19200</v>
      </c>
      <c r="R169" s="9">
        <f t="shared" si="28"/>
        <v>140800</v>
      </c>
      <c r="S169" s="9" t="str">
        <f t="shared" si="29"/>
        <v>Profit</v>
      </c>
      <c r="T169" s="7" t="str">
        <f t="shared" si="30"/>
        <v>Mar</v>
      </c>
      <c r="U169" s="7">
        <f t="shared" si="31"/>
        <v>2025</v>
      </c>
      <c r="V169" s="7" t="str">
        <f t="shared" si="32"/>
        <v>25-30</v>
      </c>
    </row>
    <row r="170" spans="1:22" x14ac:dyDescent="0.3">
      <c r="A170" s="7" t="s">
        <v>187</v>
      </c>
      <c r="B170" s="8" t="s">
        <v>1191</v>
      </c>
      <c r="C170" s="8">
        <v>26</v>
      </c>
      <c r="D170" s="8" t="s">
        <v>720</v>
      </c>
      <c r="E170" s="8" t="s">
        <v>725</v>
      </c>
      <c r="F170" s="7" t="s">
        <v>727</v>
      </c>
      <c r="G170" s="7" t="s">
        <v>853</v>
      </c>
      <c r="H170" s="7" t="s">
        <v>943</v>
      </c>
      <c r="I170" s="7" t="s">
        <v>759</v>
      </c>
      <c r="J170" s="7">
        <f t="shared" si="22"/>
        <v>8</v>
      </c>
      <c r="K170" s="9">
        <f t="shared" si="23"/>
        <v>80000</v>
      </c>
      <c r="L170" s="7">
        <v>2</v>
      </c>
      <c r="M170" s="9">
        <f t="shared" si="24"/>
        <v>160000</v>
      </c>
      <c r="N170" s="9">
        <f t="shared" si="25"/>
        <v>96000</v>
      </c>
      <c r="O170" s="7" t="s">
        <v>1006</v>
      </c>
      <c r="P170" s="10">
        <f t="shared" si="26"/>
        <v>0.12</v>
      </c>
      <c r="Q170" s="9">
        <f t="shared" si="27"/>
        <v>19200</v>
      </c>
      <c r="R170" s="9">
        <f t="shared" si="28"/>
        <v>140800</v>
      </c>
      <c r="S170" s="9" t="str">
        <f t="shared" si="29"/>
        <v>Profit</v>
      </c>
      <c r="T170" s="7" t="str">
        <f t="shared" si="30"/>
        <v>Jun</v>
      </c>
      <c r="U170" s="7">
        <f t="shared" si="31"/>
        <v>2025</v>
      </c>
      <c r="V170" s="7" t="str">
        <f t="shared" si="32"/>
        <v>25-30</v>
      </c>
    </row>
    <row r="171" spans="1:22" x14ac:dyDescent="0.3">
      <c r="A171" s="7" t="s">
        <v>188</v>
      </c>
      <c r="B171" s="8" t="s">
        <v>1192</v>
      </c>
      <c r="C171" s="8">
        <v>57</v>
      </c>
      <c r="D171" s="8" t="s">
        <v>721</v>
      </c>
      <c r="E171" s="8" t="s">
        <v>723</v>
      </c>
      <c r="F171" s="7" t="s">
        <v>729</v>
      </c>
      <c r="G171" s="7" t="s">
        <v>788</v>
      </c>
      <c r="H171" s="7" t="s">
        <v>773</v>
      </c>
      <c r="I171" s="7" t="s">
        <v>807</v>
      </c>
      <c r="J171" s="7">
        <f t="shared" si="22"/>
        <v>7</v>
      </c>
      <c r="K171" s="9">
        <f t="shared" si="23"/>
        <v>70000</v>
      </c>
      <c r="L171" s="7">
        <v>5</v>
      </c>
      <c r="M171" s="9">
        <f t="shared" si="24"/>
        <v>350000</v>
      </c>
      <c r="N171" s="9">
        <f t="shared" si="25"/>
        <v>210000</v>
      </c>
      <c r="O171" s="7" t="s">
        <v>1007</v>
      </c>
      <c r="P171" s="10">
        <f t="shared" si="26"/>
        <v>0</v>
      </c>
      <c r="Q171" s="9">
        <f t="shared" si="27"/>
        <v>0</v>
      </c>
      <c r="R171" s="9">
        <f t="shared" si="28"/>
        <v>5000</v>
      </c>
      <c r="S171" s="9" t="str">
        <f t="shared" si="29"/>
        <v>Loss</v>
      </c>
      <c r="T171" s="7" t="str">
        <f t="shared" si="30"/>
        <v>Feb</v>
      </c>
      <c r="U171" s="7">
        <f t="shared" si="31"/>
        <v>2025</v>
      </c>
      <c r="V171" s="7" t="str">
        <f t="shared" si="32"/>
        <v>55-60</v>
      </c>
    </row>
    <row r="172" spans="1:22" x14ac:dyDescent="0.3">
      <c r="A172" s="7" t="s">
        <v>189</v>
      </c>
      <c r="B172" s="8" t="s">
        <v>1193</v>
      </c>
      <c r="C172" s="8">
        <v>32</v>
      </c>
      <c r="D172" s="8" t="s">
        <v>720</v>
      </c>
      <c r="E172" s="8" t="s">
        <v>725</v>
      </c>
      <c r="F172" s="7" t="s">
        <v>732</v>
      </c>
      <c r="G172" s="7" t="s">
        <v>854</v>
      </c>
      <c r="H172" s="7" t="s">
        <v>816</v>
      </c>
      <c r="I172" s="7" t="s">
        <v>890</v>
      </c>
      <c r="J172" s="7">
        <f t="shared" si="22"/>
        <v>8</v>
      </c>
      <c r="K172" s="9">
        <f t="shared" si="23"/>
        <v>80000</v>
      </c>
      <c r="L172" s="7">
        <v>2</v>
      </c>
      <c r="M172" s="9">
        <f t="shared" si="24"/>
        <v>160000</v>
      </c>
      <c r="N172" s="9">
        <f t="shared" si="25"/>
        <v>96000</v>
      </c>
      <c r="O172" s="7" t="s">
        <v>1007</v>
      </c>
      <c r="P172" s="10">
        <f t="shared" si="26"/>
        <v>0</v>
      </c>
      <c r="Q172" s="9">
        <f t="shared" si="27"/>
        <v>0</v>
      </c>
      <c r="R172" s="9">
        <f t="shared" si="28"/>
        <v>5000</v>
      </c>
      <c r="S172" s="9" t="str">
        <f t="shared" si="29"/>
        <v>Loss</v>
      </c>
      <c r="T172" s="7" t="str">
        <f t="shared" si="30"/>
        <v>Apr</v>
      </c>
      <c r="U172" s="7">
        <f t="shared" si="31"/>
        <v>2025</v>
      </c>
      <c r="V172" s="7" t="str">
        <f t="shared" si="32"/>
        <v>30-35</v>
      </c>
    </row>
    <row r="173" spans="1:22" x14ac:dyDescent="0.3">
      <c r="A173" s="7" t="s">
        <v>190</v>
      </c>
      <c r="B173" s="8" t="s">
        <v>1194</v>
      </c>
      <c r="C173" s="8">
        <v>33</v>
      </c>
      <c r="D173" s="8" t="s">
        <v>720</v>
      </c>
      <c r="E173" s="8" t="s">
        <v>726</v>
      </c>
      <c r="F173" s="7" t="s">
        <v>728</v>
      </c>
      <c r="G173" s="7" t="s">
        <v>855</v>
      </c>
      <c r="H173" s="7" t="s">
        <v>946</v>
      </c>
      <c r="I173" s="7" t="s">
        <v>756</v>
      </c>
      <c r="J173" s="7">
        <f t="shared" si="22"/>
        <v>4</v>
      </c>
      <c r="K173" s="9">
        <f t="shared" si="23"/>
        <v>18000</v>
      </c>
      <c r="L173" s="7">
        <v>1</v>
      </c>
      <c r="M173" s="9">
        <f t="shared" si="24"/>
        <v>18000</v>
      </c>
      <c r="N173" s="9">
        <f t="shared" si="25"/>
        <v>9000</v>
      </c>
      <c r="O173" s="7" t="s">
        <v>1006</v>
      </c>
      <c r="P173" s="10">
        <f t="shared" si="26"/>
        <v>0.05</v>
      </c>
      <c r="Q173" s="9">
        <f t="shared" si="27"/>
        <v>900</v>
      </c>
      <c r="R173" s="9">
        <f t="shared" si="28"/>
        <v>17100</v>
      </c>
      <c r="S173" s="9" t="str">
        <f t="shared" si="29"/>
        <v>Profit</v>
      </c>
      <c r="T173" s="7" t="str">
        <f t="shared" si="30"/>
        <v>Mar</v>
      </c>
      <c r="U173" s="7">
        <f t="shared" si="31"/>
        <v>2025</v>
      </c>
      <c r="V173" s="7" t="str">
        <f t="shared" si="32"/>
        <v>30-35</v>
      </c>
    </row>
    <row r="174" spans="1:22" x14ac:dyDescent="0.3">
      <c r="A174" s="7" t="s">
        <v>191</v>
      </c>
      <c r="B174" s="8" t="s">
        <v>1195</v>
      </c>
      <c r="C174" s="8">
        <v>50</v>
      </c>
      <c r="D174" s="8" t="s">
        <v>720</v>
      </c>
      <c r="E174" s="8" t="s">
        <v>722</v>
      </c>
      <c r="F174" s="7" t="s">
        <v>735</v>
      </c>
      <c r="G174" s="7" t="s">
        <v>851</v>
      </c>
      <c r="H174" s="7" t="s">
        <v>975</v>
      </c>
      <c r="I174" s="7" t="s">
        <v>887</v>
      </c>
      <c r="J174" s="7">
        <f t="shared" si="22"/>
        <v>5</v>
      </c>
      <c r="K174" s="9">
        <f t="shared" si="23"/>
        <v>60000</v>
      </c>
      <c r="L174" s="7">
        <v>1</v>
      </c>
      <c r="M174" s="9">
        <f t="shared" si="24"/>
        <v>60000</v>
      </c>
      <c r="N174" s="9">
        <f t="shared" si="25"/>
        <v>39000</v>
      </c>
      <c r="O174" s="7" t="s">
        <v>1007</v>
      </c>
      <c r="P174" s="10">
        <f t="shared" si="26"/>
        <v>0</v>
      </c>
      <c r="Q174" s="9">
        <f t="shared" si="27"/>
        <v>0</v>
      </c>
      <c r="R174" s="9">
        <f t="shared" si="28"/>
        <v>5000</v>
      </c>
      <c r="S174" s="9" t="str">
        <f t="shared" si="29"/>
        <v>Loss</v>
      </c>
      <c r="T174" s="7" t="str">
        <f t="shared" si="30"/>
        <v>Feb</v>
      </c>
      <c r="U174" s="7">
        <f t="shared" si="31"/>
        <v>2025</v>
      </c>
      <c r="V174" s="7" t="str">
        <f t="shared" si="32"/>
        <v>50-55</v>
      </c>
    </row>
    <row r="175" spans="1:22" x14ac:dyDescent="0.3">
      <c r="A175" s="7" t="s">
        <v>192</v>
      </c>
      <c r="B175" s="8" t="s">
        <v>1196</v>
      </c>
      <c r="C175" s="8">
        <v>33</v>
      </c>
      <c r="D175" s="8" t="s">
        <v>721</v>
      </c>
      <c r="E175" s="8" t="s">
        <v>722</v>
      </c>
      <c r="F175" s="7" t="s">
        <v>731</v>
      </c>
      <c r="G175" s="7" t="s">
        <v>821</v>
      </c>
      <c r="H175" s="7" t="s">
        <v>751</v>
      </c>
      <c r="I175" s="7" t="s">
        <v>902</v>
      </c>
      <c r="J175" s="7">
        <f t="shared" si="22"/>
        <v>5</v>
      </c>
      <c r="K175" s="9">
        <f t="shared" si="23"/>
        <v>60000</v>
      </c>
      <c r="L175" s="7">
        <v>2</v>
      </c>
      <c r="M175" s="9">
        <f t="shared" si="24"/>
        <v>120000</v>
      </c>
      <c r="N175" s="9">
        <f t="shared" si="25"/>
        <v>78000</v>
      </c>
      <c r="O175" s="7" t="s">
        <v>1007</v>
      </c>
      <c r="P175" s="10">
        <f t="shared" si="26"/>
        <v>0</v>
      </c>
      <c r="Q175" s="9">
        <f t="shared" si="27"/>
        <v>0</v>
      </c>
      <c r="R175" s="9">
        <f t="shared" si="28"/>
        <v>5000</v>
      </c>
      <c r="S175" s="9" t="str">
        <f t="shared" si="29"/>
        <v>Loss</v>
      </c>
      <c r="T175" s="7" t="str">
        <f t="shared" si="30"/>
        <v>Jan</v>
      </c>
      <c r="U175" s="7">
        <f t="shared" si="31"/>
        <v>2025</v>
      </c>
      <c r="V175" s="7" t="str">
        <f t="shared" si="32"/>
        <v>30-35</v>
      </c>
    </row>
    <row r="176" spans="1:22" x14ac:dyDescent="0.3">
      <c r="A176" s="7" t="s">
        <v>193</v>
      </c>
      <c r="B176" s="8" t="s">
        <v>1197</v>
      </c>
      <c r="C176" s="8">
        <v>25</v>
      </c>
      <c r="D176" s="8" t="s">
        <v>721</v>
      </c>
      <c r="E176" s="8" t="s">
        <v>725</v>
      </c>
      <c r="F176" s="7" t="s">
        <v>1730</v>
      </c>
      <c r="G176" s="7" t="s">
        <v>856</v>
      </c>
      <c r="H176" s="7" t="s">
        <v>884</v>
      </c>
      <c r="I176" s="7" t="s">
        <v>977</v>
      </c>
      <c r="J176" s="7">
        <f t="shared" si="22"/>
        <v>8</v>
      </c>
      <c r="K176" s="9">
        <f t="shared" si="23"/>
        <v>80000</v>
      </c>
      <c r="L176" s="7">
        <v>2</v>
      </c>
      <c r="M176" s="9">
        <f t="shared" si="24"/>
        <v>160000</v>
      </c>
      <c r="N176" s="9">
        <f t="shared" si="25"/>
        <v>96000</v>
      </c>
      <c r="O176" s="7" t="s">
        <v>1006</v>
      </c>
      <c r="P176" s="10">
        <f t="shared" si="26"/>
        <v>0.12</v>
      </c>
      <c r="Q176" s="9">
        <f t="shared" si="27"/>
        <v>19200</v>
      </c>
      <c r="R176" s="9">
        <f t="shared" si="28"/>
        <v>140800</v>
      </c>
      <c r="S176" s="9" t="str">
        <f t="shared" si="29"/>
        <v>Profit</v>
      </c>
      <c r="T176" s="7" t="str">
        <f t="shared" si="30"/>
        <v>Mar</v>
      </c>
      <c r="U176" s="7">
        <f t="shared" si="31"/>
        <v>2025</v>
      </c>
      <c r="V176" s="7" t="str">
        <f t="shared" si="32"/>
        <v>25-30</v>
      </c>
    </row>
    <row r="177" spans="1:22" x14ac:dyDescent="0.3">
      <c r="A177" s="7" t="s">
        <v>194</v>
      </c>
      <c r="B177" s="8" t="s">
        <v>1198</v>
      </c>
      <c r="C177" s="8">
        <v>27</v>
      </c>
      <c r="D177" s="8" t="s">
        <v>721</v>
      </c>
      <c r="E177" s="8" t="s">
        <v>726</v>
      </c>
      <c r="F177" s="7" t="s">
        <v>1734</v>
      </c>
      <c r="G177" s="7" t="s">
        <v>857</v>
      </c>
      <c r="H177" s="7" t="s">
        <v>931</v>
      </c>
      <c r="I177" s="7" t="s">
        <v>898</v>
      </c>
      <c r="J177" s="7">
        <f t="shared" si="22"/>
        <v>4</v>
      </c>
      <c r="K177" s="9">
        <f t="shared" si="23"/>
        <v>18000</v>
      </c>
      <c r="L177" s="7">
        <v>4</v>
      </c>
      <c r="M177" s="9">
        <f t="shared" si="24"/>
        <v>72000</v>
      </c>
      <c r="N177" s="9">
        <f t="shared" si="25"/>
        <v>36000</v>
      </c>
      <c r="O177" s="7" t="s">
        <v>1006</v>
      </c>
      <c r="P177" s="10">
        <f t="shared" si="26"/>
        <v>0.05</v>
      </c>
      <c r="Q177" s="9">
        <f t="shared" si="27"/>
        <v>3600</v>
      </c>
      <c r="R177" s="9">
        <f t="shared" si="28"/>
        <v>68400</v>
      </c>
      <c r="S177" s="9" t="str">
        <f t="shared" si="29"/>
        <v>Profit</v>
      </c>
      <c r="T177" s="7" t="str">
        <f t="shared" si="30"/>
        <v>Jul</v>
      </c>
      <c r="U177" s="7">
        <f t="shared" si="31"/>
        <v>2025</v>
      </c>
      <c r="V177" s="7" t="str">
        <f t="shared" si="32"/>
        <v>25-30</v>
      </c>
    </row>
    <row r="178" spans="1:22" x14ac:dyDescent="0.3">
      <c r="A178" s="7" t="s">
        <v>195</v>
      </c>
      <c r="B178" s="8" t="s">
        <v>1199</v>
      </c>
      <c r="C178" s="8">
        <v>56</v>
      </c>
      <c r="D178" s="8" t="s">
        <v>720</v>
      </c>
      <c r="E178" s="8" t="s">
        <v>724</v>
      </c>
      <c r="F178" s="7" t="s">
        <v>1736</v>
      </c>
      <c r="G178" s="7" t="s">
        <v>858</v>
      </c>
      <c r="H178" s="7" t="s">
        <v>958</v>
      </c>
      <c r="I178" s="7" t="s">
        <v>779</v>
      </c>
      <c r="J178" s="7">
        <f t="shared" si="22"/>
        <v>10</v>
      </c>
      <c r="K178" s="9">
        <f t="shared" si="23"/>
        <v>120000</v>
      </c>
      <c r="L178" s="7">
        <v>3</v>
      </c>
      <c r="M178" s="9">
        <f t="shared" si="24"/>
        <v>360000</v>
      </c>
      <c r="N178" s="9">
        <f t="shared" si="25"/>
        <v>234000</v>
      </c>
      <c r="O178" s="7" t="s">
        <v>1007</v>
      </c>
      <c r="P178" s="10">
        <f t="shared" si="26"/>
        <v>0</v>
      </c>
      <c r="Q178" s="9">
        <f t="shared" si="27"/>
        <v>0</v>
      </c>
      <c r="R178" s="9">
        <f t="shared" si="28"/>
        <v>5000</v>
      </c>
      <c r="S178" s="9" t="str">
        <f t="shared" si="29"/>
        <v>Loss</v>
      </c>
      <c r="T178" s="7" t="str">
        <f t="shared" si="30"/>
        <v>Apr</v>
      </c>
      <c r="U178" s="7">
        <f t="shared" si="31"/>
        <v>2025</v>
      </c>
      <c r="V178" s="7" t="str">
        <f t="shared" si="32"/>
        <v>55-60</v>
      </c>
    </row>
    <row r="179" spans="1:22" x14ac:dyDescent="0.3">
      <c r="A179" s="7" t="s">
        <v>196</v>
      </c>
      <c r="B179" s="8" t="s">
        <v>1200</v>
      </c>
      <c r="C179" s="8">
        <v>48</v>
      </c>
      <c r="D179" s="8" t="s">
        <v>721</v>
      </c>
      <c r="E179" s="8" t="s">
        <v>723</v>
      </c>
      <c r="F179" s="7" t="s">
        <v>730</v>
      </c>
      <c r="G179" s="7" t="s">
        <v>750</v>
      </c>
      <c r="H179" s="7" t="s">
        <v>818</v>
      </c>
      <c r="I179" s="7" t="s">
        <v>844</v>
      </c>
      <c r="J179" s="7">
        <f t="shared" si="22"/>
        <v>7</v>
      </c>
      <c r="K179" s="9">
        <f t="shared" si="23"/>
        <v>70000</v>
      </c>
      <c r="L179" s="7">
        <v>1</v>
      </c>
      <c r="M179" s="9">
        <f t="shared" si="24"/>
        <v>70000</v>
      </c>
      <c r="N179" s="9">
        <f t="shared" si="25"/>
        <v>42000</v>
      </c>
      <c r="O179" s="7" t="s">
        <v>1007</v>
      </c>
      <c r="P179" s="10">
        <f t="shared" si="26"/>
        <v>0</v>
      </c>
      <c r="Q179" s="9">
        <f t="shared" si="27"/>
        <v>0</v>
      </c>
      <c r="R179" s="9">
        <f t="shared" si="28"/>
        <v>5000</v>
      </c>
      <c r="S179" s="9" t="str">
        <f t="shared" si="29"/>
        <v>Loss</v>
      </c>
      <c r="T179" s="7" t="str">
        <f t="shared" si="30"/>
        <v>May</v>
      </c>
      <c r="U179" s="7">
        <f t="shared" si="31"/>
        <v>2025</v>
      </c>
      <c r="V179" s="7" t="str">
        <f t="shared" si="32"/>
        <v>45-50</v>
      </c>
    </row>
    <row r="180" spans="1:22" x14ac:dyDescent="0.3">
      <c r="A180" s="7" t="s">
        <v>197</v>
      </c>
      <c r="B180" s="8" t="s">
        <v>1201</v>
      </c>
      <c r="C180" s="8">
        <v>59</v>
      </c>
      <c r="D180" s="8" t="s">
        <v>720</v>
      </c>
      <c r="E180" s="8" t="s">
        <v>724</v>
      </c>
      <c r="F180" s="7" t="s">
        <v>1735</v>
      </c>
      <c r="G180" s="7" t="s">
        <v>740</v>
      </c>
      <c r="H180" s="7" t="s">
        <v>768</v>
      </c>
      <c r="I180" s="7" t="s">
        <v>804</v>
      </c>
      <c r="J180" s="7">
        <f t="shared" si="22"/>
        <v>10</v>
      </c>
      <c r="K180" s="9">
        <f t="shared" si="23"/>
        <v>120000</v>
      </c>
      <c r="L180" s="7">
        <v>1</v>
      </c>
      <c r="M180" s="9">
        <f t="shared" si="24"/>
        <v>120000</v>
      </c>
      <c r="N180" s="9">
        <f t="shared" si="25"/>
        <v>78000</v>
      </c>
      <c r="O180" s="7" t="s">
        <v>1007</v>
      </c>
      <c r="P180" s="10">
        <f t="shared" si="26"/>
        <v>0</v>
      </c>
      <c r="Q180" s="9">
        <f t="shared" si="27"/>
        <v>0</v>
      </c>
      <c r="R180" s="9">
        <f t="shared" si="28"/>
        <v>5000</v>
      </c>
      <c r="S180" s="9" t="str">
        <f t="shared" si="29"/>
        <v>Loss</v>
      </c>
      <c r="T180" s="7" t="str">
        <f t="shared" si="30"/>
        <v>Apr</v>
      </c>
      <c r="U180" s="7">
        <f t="shared" si="31"/>
        <v>2025</v>
      </c>
      <c r="V180" s="7" t="str">
        <f t="shared" si="32"/>
        <v>55-60</v>
      </c>
    </row>
    <row r="181" spans="1:22" x14ac:dyDescent="0.3">
      <c r="A181" s="7" t="s">
        <v>198</v>
      </c>
      <c r="B181" s="8" t="s">
        <v>1202</v>
      </c>
      <c r="C181" s="8">
        <v>54</v>
      </c>
      <c r="D181" s="8" t="s">
        <v>720</v>
      </c>
      <c r="E181" s="8" t="s">
        <v>724</v>
      </c>
      <c r="F181" s="7" t="s">
        <v>735</v>
      </c>
      <c r="G181" s="7" t="s">
        <v>859</v>
      </c>
      <c r="H181" s="7" t="s">
        <v>906</v>
      </c>
      <c r="I181" s="7" t="s">
        <v>761</v>
      </c>
      <c r="J181" s="7">
        <f t="shared" si="22"/>
        <v>10</v>
      </c>
      <c r="K181" s="9">
        <f t="shared" si="23"/>
        <v>120000</v>
      </c>
      <c r="L181" s="7">
        <v>2</v>
      </c>
      <c r="M181" s="9">
        <f t="shared" si="24"/>
        <v>240000</v>
      </c>
      <c r="N181" s="9">
        <f t="shared" si="25"/>
        <v>156000</v>
      </c>
      <c r="O181" s="7" t="s">
        <v>1007</v>
      </c>
      <c r="P181" s="10">
        <f t="shared" si="26"/>
        <v>0</v>
      </c>
      <c r="Q181" s="9">
        <f t="shared" si="27"/>
        <v>0</v>
      </c>
      <c r="R181" s="9">
        <f t="shared" si="28"/>
        <v>5000</v>
      </c>
      <c r="S181" s="9" t="str">
        <f t="shared" si="29"/>
        <v>Loss</v>
      </c>
      <c r="T181" s="7" t="str">
        <f t="shared" si="30"/>
        <v>Jan</v>
      </c>
      <c r="U181" s="7">
        <f t="shared" si="31"/>
        <v>2025</v>
      </c>
      <c r="V181" s="7" t="str">
        <f t="shared" si="32"/>
        <v>50-55</v>
      </c>
    </row>
    <row r="182" spans="1:22" x14ac:dyDescent="0.3">
      <c r="A182" s="7" t="s">
        <v>199</v>
      </c>
      <c r="B182" s="8" t="s">
        <v>1203</v>
      </c>
      <c r="C182" s="8">
        <v>56</v>
      </c>
      <c r="D182" s="8" t="s">
        <v>720</v>
      </c>
      <c r="E182" s="8" t="s">
        <v>726</v>
      </c>
      <c r="F182" s="7" t="s">
        <v>1730</v>
      </c>
      <c r="G182" s="7" t="s">
        <v>860</v>
      </c>
      <c r="H182" s="7" t="s">
        <v>779</v>
      </c>
      <c r="I182" s="7" t="s">
        <v>809</v>
      </c>
      <c r="J182" s="7">
        <f t="shared" si="22"/>
        <v>4</v>
      </c>
      <c r="K182" s="9">
        <f t="shared" si="23"/>
        <v>18000</v>
      </c>
      <c r="L182" s="7">
        <v>3</v>
      </c>
      <c r="M182" s="9">
        <f t="shared" si="24"/>
        <v>54000</v>
      </c>
      <c r="N182" s="9">
        <f t="shared" si="25"/>
        <v>27000</v>
      </c>
      <c r="O182" s="7" t="s">
        <v>1006</v>
      </c>
      <c r="P182" s="10">
        <f t="shared" si="26"/>
        <v>0.05</v>
      </c>
      <c r="Q182" s="9">
        <f t="shared" si="27"/>
        <v>2700</v>
      </c>
      <c r="R182" s="9">
        <f t="shared" si="28"/>
        <v>51300</v>
      </c>
      <c r="S182" s="9" t="str">
        <f t="shared" si="29"/>
        <v>Profit</v>
      </c>
      <c r="T182" s="7" t="str">
        <f t="shared" si="30"/>
        <v>Apr</v>
      </c>
      <c r="U182" s="7">
        <f t="shared" si="31"/>
        <v>2025</v>
      </c>
      <c r="V182" s="7" t="str">
        <f t="shared" si="32"/>
        <v>55-60</v>
      </c>
    </row>
    <row r="183" spans="1:22" x14ac:dyDescent="0.3">
      <c r="A183" s="7" t="s">
        <v>200</v>
      </c>
      <c r="B183" s="8" t="s">
        <v>1204</v>
      </c>
      <c r="C183" s="8">
        <v>41</v>
      </c>
      <c r="D183" s="8" t="s">
        <v>720</v>
      </c>
      <c r="E183" s="8" t="s">
        <v>722</v>
      </c>
      <c r="F183" s="7" t="s">
        <v>731</v>
      </c>
      <c r="G183" s="7" t="s">
        <v>819</v>
      </c>
      <c r="H183" s="7" t="s">
        <v>828</v>
      </c>
      <c r="I183" s="7" t="s">
        <v>831</v>
      </c>
      <c r="J183" s="7">
        <f t="shared" si="22"/>
        <v>5</v>
      </c>
      <c r="K183" s="9">
        <f t="shared" si="23"/>
        <v>60000</v>
      </c>
      <c r="L183" s="7">
        <v>2</v>
      </c>
      <c r="M183" s="9">
        <f t="shared" si="24"/>
        <v>120000</v>
      </c>
      <c r="N183" s="9">
        <f t="shared" si="25"/>
        <v>78000</v>
      </c>
      <c r="O183" s="7" t="s">
        <v>1006</v>
      </c>
      <c r="P183" s="10">
        <f t="shared" si="26"/>
        <v>0.1</v>
      </c>
      <c r="Q183" s="9">
        <f t="shared" si="27"/>
        <v>12000</v>
      </c>
      <c r="R183" s="9">
        <f t="shared" si="28"/>
        <v>108000</v>
      </c>
      <c r="S183" s="9" t="str">
        <f t="shared" si="29"/>
        <v>Profit</v>
      </c>
      <c r="T183" s="7" t="str">
        <f t="shared" si="30"/>
        <v>Jan</v>
      </c>
      <c r="U183" s="7">
        <f t="shared" si="31"/>
        <v>2025</v>
      </c>
      <c r="V183" s="7" t="str">
        <f t="shared" si="32"/>
        <v>40-45</v>
      </c>
    </row>
    <row r="184" spans="1:22" x14ac:dyDescent="0.3">
      <c r="A184" s="7" t="s">
        <v>201</v>
      </c>
      <c r="B184" s="8" t="s">
        <v>1205</v>
      </c>
      <c r="C184" s="8">
        <v>54</v>
      </c>
      <c r="D184" s="8" t="s">
        <v>720</v>
      </c>
      <c r="E184" s="8" t="s">
        <v>723</v>
      </c>
      <c r="F184" s="7" t="s">
        <v>1730</v>
      </c>
      <c r="G184" s="7" t="s">
        <v>861</v>
      </c>
      <c r="H184" s="7" t="s">
        <v>856</v>
      </c>
      <c r="I184" s="7" t="s">
        <v>756</v>
      </c>
      <c r="J184" s="7">
        <f t="shared" si="22"/>
        <v>7</v>
      </c>
      <c r="K184" s="9">
        <f t="shared" si="23"/>
        <v>70000</v>
      </c>
      <c r="L184" s="7">
        <v>2</v>
      </c>
      <c r="M184" s="9">
        <f t="shared" si="24"/>
        <v>140000</v>
      </c>
      <c r="N184" s="9">
        <f t="shared" si="25"/>
        <v>84000</v>
      </c>
      <c r="O184" s="7" t="s">
        <v>1006</v>
      </c>
      <c r="P184" s="10">
        <f t="shared" si="26"/>
        <v>7.0000000000000007E-2</v>
      </c>
      <c r="Q184" s="9">
        <f t="shared" si="27"/>
        <v>9800.0000000000018</v>
      </c>
      <c r="R184" s="9">
        <f t="shared" si="28"/>
        <v>130200</v>
      </c>
      <c r="S184" s="9" t="str">
        <f t="shared" si="29"/>
        <v>Profit</v>
      </c>
      <c r="T184" s="7" t="str">
        <f t="shared" si="30"/>
        <v>Feb</v>
      </c>
      <c r="U184" s="7">
        <f t="shared" si="31"/>
        <v>2025</v>
      </c>
      <c r="V184" s="7" t="str">
        <f t="shared" si="32"/>
        <v>50-55</v>
      </c>
    </row>
    <row r="185" spans="1:22" x14ac:dyDescent="0.3">
      <c r="A185" s="7" t="s">
        <v>202</v>
      </c>
      <c r="B185" s="8" t="s">
        <v>1206</v>
      </c>
      <c r="C185" s="8">
        <v>25</v>
      </c>
      <c r="D185" s="8" t="s">
        <v>720</v>
      </c>
      <c r="E185" s="8" t="s">
        <v>725</v>
      </c>
      <c r="F185" s="7" t="s">
        <v>728</v>
      </c>
      <c r="G185" s="7" t="s">
        <v>779</v>
      </c>
      <c r="H185" s="7" t="s">
        <v>809</v>
      </c>
      <c r="I185" s="7" t="s">
        <v>842</v>
      </c>
      <c r="J185" s="7">
        <f t="shared" si="22"/>
        <v>8</v>
      </c>
      <c r="K185" s="9">
        <f t="shared" si="23"/>
        <v>80000</v>
      </c>
      <c r="L185" s="7">
        <v>2</v>
      </c>
      <c r="M185" s="9">
        <f t="shared" si="24"/>
        <v>160000</v>
      </c>
      <c r="N185" s="9">
        <f t="shared" si="25"/>
        <v>96000</v>
      </c>
      <c r="O185" s="7" t="s">
        <v>1007</v>
      </c>
      <c r="P185" s="10">
        <f t="shared" si="26"/>
        <v>0</v>
      </c>
      <c r="Q185" s="9">
        <f t="shared" si="27"/>
        <v>0</v>
      </c>
      <c r="R185" s="9">
        <f t="shared" si="28"/>
        <v>5000</v>
      </c>
      <c r="S185" s="9" t="str">
        <f t="shared" si="29"/>
        <v>Loss</v>
      </c>
      <c r="T185" s="7" t="str">
        <f t="shared" si="30"/>
        <v>May</v>
      </c>
      <c r="U185" s="7">
        <f t="shared" si="31"/>
        <v>2025</v>
      </c>
      <c r="V185" s="7" t="str">
        <f t="shared" si="32"/>
        <v>25-30</v>
      </c>
    </row>
    <row r="186" spans="1:22" x14ac:dyDescent="0.3">
      <c r="A186" s="7" t="s">
        <v>203</v>
      </c>
      <c r="B186" s="8" t="s">
        <v>1207</v>
      </c>
      <c r="C186" s="8">
        <v>29</v>
      </c>
      <c r="D186" s="8" t="s">
        <v>720</v>
      </c>
      <c r="E186" s="8" t="s">
        <v>722</v>
      </c>
      <c r="F186" s="7" t="s">
        <v>1730</v>
      </c>
      <c r="G186" s="7" t="s">
        <v>802</v>
      </c>
      <c r="H186" s="7" t="s">
        <v>851</v>
      </c>
      <c r="I186" s="7" t="s">
        <v>773</v>
      </c>
      <c r="J186" s="7">
        <f t="shared" si="22"/>
        <v>5</v>
      </c>
      <c r="K186" s="9">
        <f t="shared" si="23"/>
        <v>60000</v>
      </c>
      <c r="L186" s="7">
        <v>4</v>
      </c>
      <c r="M186" s="9">
        <f t="shared" si="24"/>
        <v>240000</v>
      </c>
      <c r="N186" s="9">
        <f t="shared" si="25"/>
        <v>156000</v>
      </c>
      <c r="O186" s="7" t="s">
        <v>1007</v>
      </c>
      <c r="P186" s="10">
        <f t="shared" si="26"/>
        <v>0</v>
      </c>
      <c r="Q186" s="9">
        <f t="shared" si="27"/>
        <v>0</v>
      </c>
      <c r="R186" s="9">
        <f t="shared" si="28"/>
        <v>5000</v>
      </c>
      <c r="S186" s="9" t="str">
        <f t="shared" si="29"/>
        <v>Loss</v>
      </c>
      <c r="T186" s="7" t="str">
        <f t="shared" si="30"/>
        <v>Feb</v>
      </c>
      <c r="U186" s="7">
        <f t="shared" si="31"/>
        <v>2025</v>
      </c>
      <c r="V186" s="7" t="str">
        <f t="shared" si="32"/>
        <v>25-30</v>
      </c>
    </row>
    <row r="187" spans="1:22" x14ac:dyDescent="0.3">
      <c r="A187" s="7" t="s">
        <v>204</v>
      </c>
      <c r="B187" s="8" t="s">
        <v>1208</v>
      </c>
      <c r="C187" s="8">
        <v>23</v>
      </c>
      <c r="D187" s="8" t="s">
        <v>721</v>
      </c>
      <c r="E187" s="8" t="s">
        <v>725</v>
      </c>
      <c r="F187" s="7" t="s">
        <v>730</v>
      </c>
      <c r="G187" s="7" t="s">
        <v>862</v>
      </c>
      <c r="H187" s="7" t="s">
        <v>737</v>
      </c>
      <c r="I187" s="7" t="s">
        <v>944</v>
      </c>
      <c r="J187" s="7">
        <f t="shared" si="22"/>
        <v>8</v>
      </c>
      <c r="K187" s="9">
        <f t="shared" si="23"/>
        <v>80000</v>
      </c>
      <c r="L187" s="7">
        <v>2</v>
      </c>
      <c r="M187" s="9">
        <f t="shared" si="24"/>
        <v>160000</v>
      </c>
      <c r="N187" s="9">
        <f t="shared" si="25"/>
        <v>96000</v>
      </c>
      <c r="O187" s="7" t="s">
        <v>1007</v>
      </c>
      <c r="P187" s="10">
        <f t="shared" si="26"/>
        <v>0</v>
      </c>
      <c r="Q187" s="9">
        <f t="shared" si="27"/>
        <v>0</v>
      </c>
      <c r="R187" s="9">
        <f t="shared" si="28"/>
        <v>5000</v>
      </c>
      <c r="S187" s="9" t="str">
        <f t="shared" si="29"/>
        <v>Loss</v>
      </c>
      <c r="T187" s="7" t="str">
        <f t="shared" si="30"/>
        <v>Jan</v>
      </c>
      <c r="U187" s="7">
        <f t="shared" si="31"/>
        <v>2025</v>
      </c>
      <c r="V187" s="7" t="str">
        <f t="shared" si="32"/>
        <v>20-25</v>
      </c>
    </row>
    <row r="188" spans="1:22" x14ac:dyDescent="0.3">
      <c r="A188" s="7" t="s">
        <v>205</v>
      </c>
      <c r="B188" s="8" t="s">
        <v>1209</v>
      </c>
      <c r="C188" s="8">
        <v>24</v>
      </c>
      <c r="D188" s="8" t="s">
        <v>721</v>
      </c>
      <c r="E188" s="8" t="s">
        <v>723</v>
      </c>
      <c r="F188" s="7" t="s">
        <v>732</v>
      </c>
      <c r="G188" s="7" t="s">
        <v>807</v>
      </c>
      <c r="H188" s="7" t="s">
        <v>825</v>
      </c>
      <c r="I188" s="7" t="s">
        <v>877</v>
      </c>
      <c r="J188" s="7">
        <f t="shared" si="22"/>
        <v>7</v>
      </c>
      <c r="K188" s="9">
        <f t="shared" si="23"/>
        <v>70000</v>
      </c>
      <c r="L188" s="7">
        <v>2</v>
      </c>
      <c r="M188" s="9">
        <f t="shared" si="24"/>
        <v>140000</v>
      </c>
      <c r="N188" s="9">
        <f t="shared" si="25"/>
        <v>84000</v>
      </c>
      <c r="O188" s="7" t="s">
        <v>1007</v>
      </c>
      <c r="P188" s="10">
        <f t="shared" si="26"/>
        <v>0</v>
      </c>
      <c r="Q188" s="9">
        <f t="shared" si="27"/>
        <v>0</v>
      </c>
      <c r="R188" s="9">
        <f t="shared" si="28"/>
        <v>5000</v>
      </c>
      <c r="S188" s="9" t="str">
        <f t="shared" si="29"/>
        <v>Loss</v>
      </c>
      <c r="T188" s="7" t="str">
        <f t="shared" si="30"/>
        <v>Feb</v>
      </c>
      <c r="U188" s="7">
        <f t="shared" si="31"/>
        <v>2025</v>
      </c>
      <c r="V188" s="7" t="str">
        <f t="shared" si="32"/>
        <v>20-25</v>
      </c>
    </row>
    <row r="189" spans="1:22" x14ac:dyDescent="0.3">
      <c r="A189" s="7" t="s">
        <v>206</v>
      </c>
      <c r="B189" s="8" t="s">
        <v>1210</v>
      </c>
      <c r="C189" s="8">
        <v>42</v>
      </c>
      <c r="D189" s="8" t="s">
        <v>721</v>
      </c>
      <c r="E189" s="8" t="s">
        <v>723</v>
      </c>
      <c r="F189" s="7" t="s">
        <v>732</v>
      </c>
      <c r="G189" s="7" t="s">
        <v>863</v>
      </c>
      <c r="H189" s="7" t="s">
        <v>762</v>
      </c>
      <c r="I189" s="7" t="s">
        <v>948</v>
      </c>
      <c r="J189" s="7">
        <f t="shared" si="22"/>
        <v>7</v>
      </c>
      <c r="K189" s="9">
        <f t="shared" si="23"/>
        <v>70000</v>
      </c>
      <c r="L189" s="7">
        <v>1</v>
      </c>
      <c r="M189" s="9">
        <f t="shared" si="24"/>
        <v>70000</v>
      </c>
      <c r="N189" s="9">
        <f t="shared" si="25"/>
        <v>42000</v>
      </c>
      <c r="O189" s="7" t="s">
        <v>1007</v>
      </c>
      <c r="P189" s="10">
        <f t="shared" si="26"/>
        <v>0</v>
      </c>
      <c r="Q189" s="9">
        <f t="shared" si="27"/>
        <v>0</v>
      </c>
      <c r="R189" s="9">
        <f t="shared" si="28"/>
        <v>5000</v>
      </c>
      <c r="S189" s="9" t="str">
        <f t="shared" si="29"/>
        <v>Loss</v>
      </c>
      <c r="T189" s="7" t="str">
        <f t="shared" si="30"/>
        <v>Feb</v>
      </c>
      <c r="U189" s="7">
        <f t="shared" si="31"/>
        <v>2025</v>
      </c>
      <c r="V189" s="7" t="str">
        <f t="shared" si="32"/>
        <v>40-45</v>
      </c>
    </row>
    <row r="190" spans="1:22" x14ac:dyDescent="0.3">
      <c r="A190" s="7" t="s">
        <v>207</v>
      </c>
      <c r="B190" s="8" t="s">
        <v>1211</v>
      </c>
      <c r="C190" s="8">
        <v>32</v>
      </c>
      <c r="D190" s="8" t="s">
        <v>721</v>
      </c>
      <c r="E190" s="8" t="s">
        <v>725</v>
      </c>
      <c r="F190" s="7" t="s">
        <v>732</v>
      </c>
      <c r="G190" s="7" t="s">
        <v>856</v>
      </c>
      <c r="H190" s="7" t="s">
        <v>896</v>
      </c>
      <c r="I190" s="7" t="s">
        <v>888</v>
      </c>
      <c r="J190" s="7">
        <f t="shared" si="22"/>
        <v>8</v>
      </c>
      <c r="K190" s="9">
        <f t="shared" si="23"/>
        <v>80000</v>
      </c>
      <c r="L190" s="7">
        <v>4</v>
      </c>
      <c r="M190" s="9">
        <f t="shared" si="24"/>
        <v>320000</v>
      </c>
      <c r="N190" s="9">
        <f t="shared" si="25"/>
        <v>192000</v>
      </c>
      <c r="O190" s="7" t="s">
        <v>1007</v>
      </c>
      <c r="P190" s="10">
        <f t="shared" si="26"/>
        <v>0</v>
      </c>
      <c r="Q190" s="9">
        <f t="shared" si="27"/>
        <v>0</v>
      </c>
      <c r="R190" s="9">
        <f t="shared" si="28"/>
        <v>5000</v>
      </c>
      <c r="S190" s="9" t="str">
        <f t="shared" si="29"/>
        <v>Loss</v>
      </c>
      <c r="T190" s="7" t="str">
        <f t="shared" si="30"/>
        <v>Mar</v>
      </c>
      <c r="U190" s="7">
        <f t="shared" si="31"/>
        <v>2025</v>
      </c>
      <c r="V190" s="7" t="str">
        <f t="shared" si="32"/>
        <v>30-35</v>
      </c>
    </row>
    <row r="191" spans="1:22" x14ac:dyDescent="0.3">
      <c r="A191" s="7" t="s">
        <v>208</v>
      </c>
      <c r="B191" s="8" t="s">
        <v>1212</v>
      </c>
      <c r="C191" s="8">
        <v>56</v>
      </c>
      <c r="D191" s="8" t="s">
        <v>721</v>
      </c>
      <c r="E191" s="8" t="s">
        <v>722</v>
      </c>
      <c r="F191" s="7" t="s">
        <v>1730</v>
      </c>
      <c r="G191" s="7" t="s">
        <v>864</v>
      </c>
      <c r="H191" s="7" t="s">
        <v>839</v>
      </c>
      <c r="I191" s="7" t="s">
        <v>905</v>
      </c>
      <c r="J191" s="7">
        <f t="shared" si="22"/>
        <v>5</v>
      </c>
      <c r="K191" s="9">
        <f t="shared" si="23"/>
        <v>60000</v>
      </c>
      <c r="L191" s="7">
        <v>1</v>
      </c>
      <c r="M191" s="9">
        <f t="shared" si="24"/>
        <v>60000</v>
      </c>
      <c r="N191" s="9">
        <f t="shared" si="25"/>
        <v>39000</v>
      </c>
      <c r="O191" s="7" t="s">
        <v>1006</v>
      </c>
      <c r="P191" s="10">
        <f t="shared" si="26"/>
        <v>0.1</v>
      </c>
      <c r="Q191" s="9">
        <f t="shared" si="27"/>
        <v>6000</v>
      </c>
      <c r="R191" s="9">
        <f t="shared" si="28"/>
        <v>54000</v>
      </c>
      <c r="S191" s="9" t="str">
        <f t="shared" si="29"/>
        <v>Profit</v>
      </c>
      <c r="T191" s="7" t="str">
        <f t="shared" si="30"/>
        <v>Aug</v>
      </c>
      <c r="U191" s="7">
        <f t="shared" si="31"/>
        <v>2025</v>
      </c>
      <c r="V191" s="7" t="str">
        <f t="shared" si="32"/>
        <v>55-60</v>
      </c>
    </row>
    <row r="192" spans="1:22" x14ac:dyDescent="0.3">
      <c r="A192" s="7" t="s">
        <v>209</v>
      </c>
      <c r="B192" s="8" t="s">
        <v>1213</v>
      </c>
      <c r="C192" s="8">
        <v>42</v>
      </c>
      <c r="D192" s="8" t="s">
        <v>721</v>
      </c>
      <c r="E192" s="8" t="s">
        <v>726</v>
      </c>
      <c r="F192" s="7" t="s">
        <v>1730</v>
      </c>
      <c r="G192" s="7" t="s">
        <v>822</v>
      </c>
      <c r="H192" s="7" t="s">
        <v>849</v>
      </c>
      <c r="I192" s="7" t="s">
        <v>761</v>
      </c>
      <c r="J192" s="7">
        <f t="shared" si="22"/>
        <v>4</v>
      </c>
      <c r="K192" s="9">
        <f t="shared" si="23"/>
        <v>18000</v>
      </c>
      <c r="L192" s="7">
        <v>1</v>
      </c>
      <c r="M192" s="9">
        <f t="shared" si="24"/>
        <v>18000</v>
      </c>
      <c r="N192" s="9">
        <f t="shared" si="25"/>
        <v>9000</v>
      </c>
      <c r="O192" s="7" t="s">
        <v>1007</v>
      </c>
      <c r="P192" s="10">
        <f t="shared" si="26"/>
        <v>0</v>
      </c>
      <c r="Q192" s="9">
        <f t="shared" si="27"/>
        <v>0</v>
      </c>
      <c r="R192" s="9">
        <f t="shared" si="28"/>
        <v>5000</v>
      </c>
      <c r="S192" s="9" t="str">
        <f t="shared" si="29"/>
        <v>Loss</v>
      </c>
      <c r="T192" s="7" t="str">
        <f t="shared" si="30"/>
        <v>Jan</v>
      </c>
      <c r="U192" s="7">
        <f t="shared" si="31"/>
        <v>2025</v>
      </c>
      <c r="V192" s="7" t="str">
        <f t="shared" si="32"/>
        <v>40-45</v>
      </c>
    </row>
    <row r="193" spans="1:22" x14ac:dyDescent="0.3">
      <c r="A193" s="7" t="s">
        <v>210</v>
      </c>
      <c r="B193" s="8" t="s">
        <v>1214</v>
      </c>
      <c r="C193" s="8">
        <v>49</v>
      </c>
      <c r="D193" s="8" t="s">
        <v>721</v>
      </c>
      <c r="E193" s="8" t="s">
        <v>723</v>
      </c>
      <c r="F193" s="7" t="s">
        <v>1730</v>
      </c>
      <c r="G193" s="7" t="s">
        <v>861</v>
      </c>
      <c r="H193" s="7" t="s">
        <v>871</v>
      </c>
      <c r="I193" s="7" t="s">
        <v>807</v>
      </c>
      <c r="J193" s="7">
        <f t="shared" si="22"/>
        <v>7</v>
      </c>
      <c r="K193" s="9">
        <f t="shared" si="23"/>
        <v>70000</v>
      </c>
      <c r="L193" s="7">
        <v>2</v>
      </c>
      <c r="M193" s="9">
        <f t="shared" si="24"/>
        <v>140000</v>
      </c>
      <c r="N193" s="9">
        <f t="shared" si="25"/>
        <v>84000</v>
      </c>
      <c r="O193" s="7" t="s">
        <v>1006</v>
      </c>
      <c r="P193" s="10">
        <f t="shared" si="26"/>
        <v>7.0000000000000007E-2</v>
      </c>
      <c r="Q193" s="9">
        <f t="shared" si="27"/>
        <v>9800.0000000000018</v>
      </c>
      <c r="R193" s="9">
        <f t="shared" si="28"/>
        <v>130200</v>
      </c>
      <c r="S193" s="9" t="str">
        <f t="shared" si="29"/>
        <v>Profit</v>
      </c>
      <c r="T193" s="7" t="str">
        <f t="shared" si="30"/>
        <v>Feb</v>
      </c>
      <c r="U193" s="7">
        <f t="shared" si="31"/>
        <v>2025</v>
      </c>
      <c r="V193" s="7" t="str">
        <f t="shared" si="32"/>
        <v>45-50</v>
      </c>
    </row>
    <row r="194" spans="1:22" x14ac:dyDescent="0.3">
      <c r="A194" s="7" t="s">
        <v>211</v>
      </c>
      <c r="B194" s="8" t="s">
        <v>1215</v>
      </c>
      <c r="C194" s="8">
        <v>47</v>
      </c>
      <c r="D194" s="8" t="s">
        <v>721</v>
      </c>
      <c r="E194" s="8" t="s">
        <v>726</v>
      </c>
      <c r="F194" s="7" t="s">
        <v>1730</v>
      </c>
      <c r="G194" s="7" t="s">
        <v>865</v>
      </c>
      <c r="H194" s="7" t="s">
        <v>939</v>
      </c>
      <c r="I194" s="7" t="s">
        <v>918</v>
      </c>
      <c r="J194" s="7">
        <f t="shared" si="22"/>
        <v>4</v>
      </c>
      <c r="K194" s="9">
        <f t="shared" si="23"/>
        <v>18000</v>
      </c>
      <c r="L194" s="7">
        <v>1</v>
      </c>
      <c r="M194" s="9">
        <f t="shared" si="24"/>
        <v>18000</v>
      </c>
      <c r="N194" s="9">
        <f t="shared" si="25"/>
        <v>9000</v>
      </c>
      <c r="O194" s="7" t="s">
        <v>1007</v>
      </c>
      <c r="P194" s="10">
        <f t="shared" si="26"/>
        <v>0</v>
      </c>
      <c r="Q194" s="9">
        <f t="shared" si="27"/>
        <v>0</v>
      </c>
      <c r="R194" s="9">
        <f t="shared" si="28"/>
        <v>5000</v>
      </c>
      <c r="S194" s="9" t="str">
        <f t="shared" si="29"/>
        <v>Loss</v>
      </c>
      <c r="T194" s="7" t="str">
        <f t="shared" si="30"/>
        <v>Jul</v>
      </c>
      <c r="U194" s="7">
        <f t="shared" si="31"/>
        <v>2025</v>
      </c>
      <c r="V194" s="7" t="str">
        <f t="shared" si="32"/>
        <v>45-50</v>
      </c>
    </row>
    <row r="195" spans="1:22" x14ac:dyDescent="0.3">
      <c r="A195" s="7" t="s">
        <v>212</v>
      </c>
      <c r="B195" s="8" t="s">
        <v>1216</v>
      </c>
      <c r="C195" s="8">
        <v>33</v>
      </c>
      <c r="D195" s="8" t="s">
        <v>720</v>
      </c>
      <c r="E195" s="8" t="s">
        <v>723</v>
      </c>
      <c r="F195" s="7" t="s">
        <v>730</v>
      </c>
      <c r="G195" s="7" t="s">
        <v>742</v>
      </c>
      <c r="H195" s="7" t="s">
        <v>911</v>
      </c>
      <c r="I195" s="7" t="s">
        <v>824</v>
      </c>
      <c r="J195" s="7">
        <f t="shared" si="22"/>
        <v>7</v>
      </c>
      <c r="K195" s="9">
        <f t="shared" si="23"/>
        <v>70000</v>
      </c>
      <c r="L195" s="7">
        <v>1</v>
      </c>
      <c r="M195" s="9">
        <f t="shared" si="24"/>
        <v>70000</v>
      </c>
      <c r="N195" s="9">
        <f t="shared" si="25"/>
        <v>42000</v>
      </c>
      <c r="O195" s="7" t="s">
        <v>1007</v>
      </c>
      <c r="P195" s="10">
        <f t="shared" si="26"/>
        <v>0</v>
      </c>
      <c r="Q195" s="9">
        <f t="shared" si="27"/>
        <v>0</v>
      </c>
      <c r="R195" s="9">
        <f t="shared" si="28"/>
        <v>5000</v>
      </c>
      <c r="S195" s="9" t="str">
        <f t="shared" si="29"/>
        <v>Loss</v>
      </c>
      <c r="T195" s="7" t="str">
        <f t="shared" si="30"/>
        <v>May</v>
      </c>
      <c r="U195" s="7">
        <f t="shared" si="31"/>
        <v>2025</v>
      </c>
      <c r="V195" s="7" t="str">
        <f t="shared" si="32"/>
        <v>30-35</v>
      </c>
    </row>
    <row r="196" spans="1:22" x14ac:dyDescent="0.3">
      <c r="A196" s="7" t="s">
        <v>213</v>
      </c>
      <c r="B196" s="8" t="s">
        <v>1217</v>
      </c>
      <c r="C196" s="8">
        <v>19</v>
      </c>
      <c r="D196" s="8" t="s">
        <v>720</v>
      </c>
      <c r="E196" s="8" t="s">
        <v>722</v>
      </c>
      <c r="F196" s="7" t="s">
        <v>731</v>
      </c>
      <c r="G196" s="7" t="s">
        <v>816</v>
      </c>
      <c r="H196" s="7" t="s">
        <v>765</v>
      </c>
      <c r="I196" s="7" t="s">
        <v>784</v>
      </c>
      <c r="J196" s="7">
        <f t="shared" ref="J196:J259" si="33">IF(E196="Adventure",5,IF(E196="Domestic",4,IF(E196="Family",7,IF(E196="Honeymoon",8,IF(E196="International",10,"")))))</f>
        <v>5</v>
      </c>
      <c r="K196" s="9">
        <f t="shared" ref="K196:K259" si="34">IF(E196="Adventure",60000,
IF(E196="Domestic",18000,
IF(E196="Family",70000,
IF(E196="Honeymoon",80000,
IF(E196="International",120000,"")))))</f>
        <v>60000</v>
      </c>
      <c r="L196" s="7">
        <v>3</v>
      </c>
      <c r="M196" s="9">
        <f t="shared" ref="M196:M259" si="35">K196*L196</f>
        <v>180000</v>
      </c>
      <c r="N196" s="9">
        <f t="shared" ref="N196:N259" si="36">IF(E196="Adventure",M196*65%,IF(E196="Domestic",M196*50%,IF(E196="Family",M196*60%,IF(E196="Honeymoon",M196*60%,IF(E196="International",M196*65%,0)))))</f>
        <v>117000</v>
      </c>
      <c r="O196" s="7" t="s">
        <v>1007</v>
      </c>
      <c r="P196" s="10">
        <f t="shared" ref="P196:P259" si="37">IF(O196="Cancelled",0,IF(E196="Domestic",5%,IF(E196="Adventure",10%,IF(E196="Family",7%,IF(E196="Honeymoon",12%,IF(E196="International",15%,0))))))</f>
        <v>0</v>
      </c>
      <c r="Q196" s="9">
        <f t="shared" ref="Q196:Q259" si="38">M196*P196</f>
        <v>0</v>
      </c>
      <c r="R196" s="9">
        <f t="shared" ref="R196:R259" si="39">IF(O196="Cancelled",5000,M196-Q196)</f>
        <v>5000</v>
      </c>
      <c r="S196" s="9" t="str">
        <f t="shared" ref="S196:S259" si="40">IF(R196-N196&gt;5000,"Profit","Loss")</f>
        <v>Loss</v>
      </c>
      <c r="T196" s="7" t="str">
        <f t="shared" ref="T196:T259" si="41">TEXT(G196,"mmm")</f>
        <v>May</v>
      </c>
      <c r="U196" s="7">
        <f t="shared" ref="U196:U259" si="42">YEAR(G196)</f>
        <v>2025</v>
      </c>
      <c r="V196" s="7" t="str">
        <f t="shared" ref="V196:V259" si="43">FLOOR(C196,5) &amp; "-" &amp; FLOOR(C196,5)+5</f>
        <v>15-20</v>
      </c>
    </row>
    <row r="197" spans="1:22" x14ac:dyDescent="0.3">
      <c r="A197" s="7" t="s">
        <v>214</v>
      </c>
      <c r="B197" s="8" t="s">
        <v>1218</v>
      </c>
      <c r="C197" s="8">
        <v>59</v>
      </c>
      <c r="D197" s="8" t="s">
        <v>720</v>
      </c>
      <c r="E197" s="8" t="s">
        <v>726</v>
      </c>
      <c r="F197" s="7" t="s">
        <v>728</v>
      </c>
      <c r="G197" s="7" t="s">
        <v>866</v>
      </c>
      <c r="H197" s="7" t="s">
        <v>976</v>
      </c>
      <c r="I197" s="7" t="s">
        <v>998</v>
      </c>
      <c r="J197" s="7">
        <f t="shared" si="33"/>
        <v>4</v>
      </c>
      <c r="K197" s="9">
        <f t="shared" si="34"/>
        <v>18000</v>
      </c>
      <c r="L197" s="7">
        <v>2</v>
      </c>
      <c r="M197" s="9">
        <f t="shared" si="35"/>
        <v>36000</v>
      </c>
      <c r="N197" s="9">
        <f t="shared" si="36"/>
        <v>18000</v>
      </c>
      <c r="O197" s="7" t="s">
        <v>1006</v>
      </c>
      <c r="P197" s="10">
        <f t="shared" si="37"/>
        <v>0.05</v>
      </c>
      <c r="Q197" s="9">
        <f t="shared" si="38"/>
        <v>1800</v>
      </c>
      <c r="R197" s="9">
        <f t="shared" si="39"/>
        <v>34200</v>
      </c>
      <c r="S197" s="9" t="str">
        <f t="shared" si="40"/>
        <v>Profit</v>
      </c>
      <c r="T197" s="7" t="str">
        <f t="shared" si="41"/>
        <v>Aug</v>
      </c>
      <c r="U197" s="7">
        <f t="shared" si="42"/>
        <v>2025</v>
      </c>
      <c r="V197" s="7" t="str">
        <f t="shared" si="43"/>
        <v>55-60</v>
      </c>
    </row>
    <row r="198" spans="1:22" x14ac:dyDescent="0.3">
      <c r="A198" s="7" t="s">
        <v>215</v>
      </c>
      <c r="B198" s="8" t="s">
        <v>1219</v>
      </c>
      <c r="C198" s="8">
        <v>40</v>
      </c>
      <c r="D198" s="8" t="s">
        <v>721</v>
      </c>
      <c r="E198" s="8" t="s">
        <v>723</v>
      </c>
      <c r="F198" s="7" t="s">
        <v>727</v>
      </c>
      <c r="G198" s="7" t="s">
        <v>867</v>
      </c>
      <c r="H198" s="7" t="s">
        <v>928</v>
      </c>
      <c r="I198" s="7" t="s">
        <v>749</v>
      </c>
      <c r="J198" s="7">
        <f t="shared" si="33"/>
        <v>7</v>
      </c>
      <c r="K198" s="9">
        <f t="shared" si="34"/>
        <v>70000</v>
      </c>
      <c r="L198" s="7">
        <v>3</v>
      </c>
      <c r="M198" s="9">
        <f t="shared" si="35"/>
        <v>210000</v>
      </c>
      <c r="N198" s="9">
        <f t="shared" si="36"/>
        <v>126000</v>
      </c>
      <c r="O198" s="7" t="s">
        <v>1007</v>
      </c>
      <c r="P198" s="10">
        <f t="shared" si="37"/>
        <v>0</v>
      </c>
      <c r="Q198" s="9">
        <f t="shared" si="38"/>
        <v>0</v>
      </c>
      <c r="R198" s="9">
        <f t="shared" si="39"/>
        <v>5000</v>
      </c>
      <c r="S198" s="9" t="str">
        <f t="shared" si="40"/>
        <v>Loss</v>
      </c>
      <c r="T198" s="7" t="str">
        <f t="shared" si="41"/>
        <v>Mar</v>
      </c>
      <c r="U198" s="7">
        <f t="shared" si="42"/>
        <v>2025</v>
      </c>
      <c r="V198" s="7" t="str">
        <f t="shared" si="43"/>
        <v>40-45</v>
      </c>
    </row>
    <row r="199" spans="1:22" x14ac:dyDescent="0.3">
      <c r="A199" s="7" t="s">
        <v>216</v>
      </c>
      <c r="B199" s="8" t="s">
        <v>1220</v>
      </c>
      <c r="C199" s="8">
        <v>37</v>
      </c>
      <c r="D199" s="8" t="s">
        <v>720</v>
      </c>
      <c r="E199" s="8" t="s">
        <v>726</v>
      </c>
      <c r="F199" s="7" t="s">
        <v>1726</v>
      </c>
      <c r="G199" s="7" t="s">
        <v>849</v>
      </c>
      <c r="H199" s="7" t="s">
        <v>832</v>
      </c>
      <c r="I199" s="7" t="s">
        <v>769</v>
      </c>
      <c r="J199" s="7">
        <f t="shared" si="33"/>
        <v>4</v>
      </c>
      <c r="K199" s="9">
        <f t="shared" si="34"/>
        <v>18000</v>
      </c>
      <c r="L199" s="7">
        <v>1</v>
      </c>
      <c r="M199" s="9">
        <f t="shared" si="35"/>
        <v>18000</v>
      </c>
      <c r="N199" s="9">
        <f t="shared" si="36"/>
        <v>9000</v>
      </c>
      <c r="O199" s="7" t="s">
        <v>1006</v>
      </c>
      <c r="P199" s="10">
        <f t="shared" si="37"/>
        <v>0.05</v>
      </c>
      <c r="Q199" s="9">
        <f t="shared" si="38"/>
        <v>900</v>
      </c>
      <c r="R199" s="9">
        <f t="shared" si="39"/>
        <v>17100</v>
      </c>
      <c r="S199" s="9" t="str">
        <f t="shared" si="40"/>
        <v>Profit</v>
      </c>
      <c r="T199" s="7" t="str">
        <f t="shared" si="41"/>
        <v>Jan</v>
      </c>
      <c r="U199" s="7">
        <f t="shared" si="42"/>
        <v>2025</v>
      </c>
      <c r="V199" s="7" t="str">
        <f t="shared" si="43"/>
        <v>35-40</v>
      </c>
    </row>
    <row r="200" spans="1:22" x14ac:dyDescent="0.3">
      <c r="A200" s="7" t="s">
        <v>217</v>
      </c>
      <c r="B200" s="8" t="s">
        <v>1221</v>
      </c>
      <c r="C200" s="8">
        <v>29</v>
      </c>
      <c r="D200" s="8" t="s">
        <v>721</v>
      </c>
      <c r="E200" s="8" t="s">
        <v>725</v>
      </c>
      <c r="F200" s="7" t="s">
        <v>730</v>
      </c>
      <c r="G200" s="7" t="s">
        <v>772</v>
      </c>
      <c r="H200" s="7" t="s">
        <v>967</v>
      </c>
      <c r="I200" s="7" t="s">
        <v>993</v>
      </c>
      <c r="J200" s="7">
        <f t="shared" si="33"/>
        <v>8</v>
      </c>
      <c r="K200" s="9">
        <f t="shared" si="34"/>
        <v>80000</v>
      </c>
      <c r="L200" s="7">
        <v>2</v>
      </c>
      <c r="M200" s="9">
        <f t="shared" si="35"/>
        <v>160000</v>
      </c>
      <c r="N200" s="9">
        <f t="shared" si="36"/>
        <v>96000</v>
      </c>
      <c r="O200" s="7" t="s">
        <v>1006</v>
      </c>
      <c r="P200" s="10">
        <f t="shared" si="37"/>
        <v>0.12</v>
      </c>
      <c r="Q200" s="9">
        <f t="shared" si="38"/>
        <v>19200</v>
      </c>
      <c r="R200" s="9">
        <f t="shared" si="39"/>
        <v>140800</v>
      </c>
      <c r="S200" s="9" t="str">
        <f t="shared" si="40"/>
        <v>Profit</v>
      </c>
      <c r="T200" s="7" t="str">
        <f t="shared" si="41"/>
        <v>Aug</v>
      </c>
      <c r="U200" s="7">
        <f t="shared" si="42"/>
        <v>2025</v>
      </c>
      <c r="V200" s="7" t="str">
        <f t="shared" si="43"/>
        <v>25-30</v>
      </c>
    </row>
    <row r="201" spans="1:22" x14ac:dyDescent="0.3">
      <c r="A201" s="7" t="s">
        <v>218</v>
      </c>
      <c r="B201" s="8" t="s">
        <v>1222</v>
      </c>
      <c r="C201" s="8">
        <v>21</v>
      </c>
      <c r="D201" s="8" t="s">
        <v>720</v>
      </c>
      <c r="E201" s="8" t="s">
        <v>723</v>
      </c>
      <c r="F201" s="7" t="s">
        <v>732</v>
      </c>
      <c r="G201" s="7" t="s">
        <v>868</v>
      </c>
      <c r="H201" s="7" t="s">
        <v>977</v>
      </c>
      <c r="I201" s="7" t="s">
        <v>815</v>
      </c>
      <c r="J201" s="7">
        <f t="shared" si="33"/>
        <v>7</v>
      </c>
      <c r="K201" s="9">
        <f t="shared" si="34"/>
        <v>70000</v>
      </c>
      <c r="L201" s="7">
        <v>2</v>
      </c>
      <c r="M201" s="9">
        <f t="shared" si="35"/>
        <v>140000</v>
      </c>
      <c r="N201" s="9">
        <f t="shared" si="36"/>
        <v>84000</v>
      </c>
      <c r="O201" s="7" t="s">
        <v>1007</v>
      </c>
      <c r="P201" s="10">
        <f t="shared" si="37"/>
        <v>0</v>
      </c>
      <c r="Q201" s="9">
        <f t="shared" si="38"/>
        <v>0</v>
      </c>
      <c r="R201" s="9">
        <f t="shared" si="39"/>
        <v>5000</v>
      </c>
      <c r="S201" s="9" t="str">
        <f t="shared" si="40"/>
        <v>Loss</v>
      </c>
      <c r="T201" s="7" t="str">
        <f t="shared" si="41"/>
        <v>Mar</v>
      </c>
      <c r="U201" s="7">
        <f t="shared" si="42"/>
        <v>2025</v>
      </c>
      <c r="V201" s="7" t="str">
        <f t="shared" si="43"/>
        <v>20-25</v>
      </c>
    </row>
    <row r="202" spans="1:22" x14ac:dyDescent="0.3">
      <c r="A202" s="7" t="s">
        <v>219</v>
      </c>
      <c r="B202" s="8" t="s">
        <v>1223</v>
      </c>
      <c r="C202" s="8">
        <v>48</v>
      </c>
      <c r="D202" s="8" t="s">
        <v>720</v>
      </c>
      <c r="E202" s="8" t="s">
        <v>724</v>
      </c>
      <c r="F202" s="7" t="s">
        <v>1736</v>
      </c>
      <c r="G202" s="7" t="s">
        <v>749</v>
      </c>
      <c r="H202" s="7" t="s">
        <v>779</v>
      </c>
      <c r="I202" s="7" t="s">
        <v>879</v>
      </c>
      <c r="J202" s="7">
        <f t="shared" si="33"/>
        <v>10</v>
      </c>
      <c r="K202" s="9">
        <f t="shared" si="34"/>
        <v>120000</v>
      </c>
      <c r="L202" s="7">
        <v>3</v>
      </c>
      <c r="M202" s="9">
        <f t="shared" si="35"/>
        <v>360000</v>
      </c>
      <c r="N202" s="9">
        <f t="shared" si="36"/>
        <v>234000</v>
      </c>
      <c r="O202" s="7" t="s">
        <v>1007</v>
      </c>
      <c r="P202" s="10">
        <f t="shared" si="37"/>
        <v>0</v>
      </c>
      <c r="Q202" s="9">
        <f t="shared" si="38"/>
        <v>0</v>
      </c>
      <c r="R202" s="9">
        <f t="shared" si="39"/>
        <v>5000</v>
      </c>
      <c r="S202" s="9" t="str">
        <f t="shared" si="40"/>
        <v>Loss</v>
      </c>
      <c r="T202" s="7" t="str">
        <f t="shared" si="41"/>
        <v>Apr</v>
      </c>
      <c r="U202" s="7">
        <f t="shared" si="42"/>
        <v>2025</v>
      </c>
      <c r="V202" s="7" t="str">
        <f t="shared" si="43"/>
        <v>45-50</v>
      </c>
    </row>
    <row r="203" spans="1:22" x14ac:dyDescent="0.3">
      <c r="A203" s="7" t="s">
        <v>220</v>
      </c>
      <c r="B203" s="8" t="s">
        <v>1224</v>
      </c>
      <c r="C203" s="8">
        <v>29</v>
      </c>
      <c r="D203" s="8" t="s">
        <v>720</v>
      </c>
      <c r="E203" s="8" t="s">
        <v>726</v>
      </c>
      <c r="F203" s="7" t="s">
        <v>1728</v>
      </c>
      <c r="G203" s="7" t="s">
        <v>869</v>
      </c>
      <c r="H203" s="7" t="s">
        <v>738</v>
      </c>
      <c r="I203" s="7" t="s">
        <v>963</v>
      </c>
      <c r="J203" s="7">
        <f t="shared" si="33"/>
        <v>4</v>
      </c>
      <c r="K203" s="9">
        <f t="shared" si="34"/>
        <v>18000</v>
      </c>
      <c r="L203" s="7">
        <v>2</v>
      </c>
      <c r="M203" s="9">
        <f t="shared" si="35"/>
        <v>36000</v>
      </c>
      <c r="N203" s="9">
        <f t="shared" si="36"/>
        <v>18000</v>
      </c>
      <c r="O203" s="7" t="s">
        <v>1007</v>
      </c>
      <c r="P203" s="10">
        <f t="shared" si="37"/>
        <v>0</v>
      </c>
      <c r="Q203" s="9">
        <f t="shared" si="38"/>
        <v>0</v>
      </c>
      <c r="R203" s="9">
        <f t="shared" si="39"/>
        <v>5000</v>
      </c>
      <c r="S203" s="9" t="str">
        <f t="shared" si="40"/>
        <v>Loss</v>
      </c>
      <c r="T203" s="7" t="str">
        <f t="shared" si="41"/>
        <v>May</v>
      </c>
      <c r="U203" s="7">
        <f t="shared" si="42"/>
        <v>2025</v>
      </c>
      <c r="V203" s="7" t="str">
        <f t="shared" si="43"/>
        <v>25-30</v>
      </c>
    </row>
    <row r="204" spans="1:22" x14ac:dyDescent="0.3">
      <c r="A204" s="7" t="s">
        <v>221</v>
      </c>
      <c r="B204" s="8" t="s">
        <v>1225</v>
      </c>
      <c r="C204" s="8">
        <v>36</v>
      </c>
      <c r="D204" s="8" t="s">
        <v>721</v>
      </c>
      <c r="E204" s="8" t="s">
        <v>726</v>
      </c>
      <c r="F204" s="7" t="s">
        <v>732</v>
      </c>
      <c r="G204" s="7" t="s">
        <v>756</v>
      </c>
      <c r="H204" s="7" t="s">
        <v>848</v>
      </c>
      <c r="I204" s="7" t="s">
        <v>951</v>
      </c>
      <c r="J204" s="7">
        <f t="shared" si="33"/>
        <v>4</v>
      </c>
      <c r="K204" s="9">
        <f t="shared" si="34"/>
        <v>18000</v>
      </c>
      <c r="L204" s="7">
        <v>1</v>
      </c>
      <c r="M204" s="9">
        <f t="shared" si="35"/>
        <v>18000</v>
      </c>
      <c r="N204" s="9">
        <f t="shared" si="36"/>
        <v>9000</v>
      </c>
      <c r="O204" s="7" t="s">
        <v>1007</v>
      </c>
      <c r="P204" s="10">
        <f t="shared" si="37"/>
        <v>0</v>
      </c>
      <c r="Q204" s="9">
        <f t="shared" si="38"/>
        <v>0</v>
      </c>
      <c r="R204" s="9">
        <f t="shared" si="39"/>
        <v>5000</v>
      </c>
      <c r="S204" s="9" t="str">
        <f t="shared" si="40"/>
        <v>Loss</v>
      </c>
      <c r="T204" s="7" t="str">
        <f t="shared" si="41"/>
        <v>Mar</v>
      </c>
      <c r="U204" s="7">
        <f t="shared" si="42"/>
        <v>2025</v>
      </c>
      <c r="V204" s="7" t="str">
        <f t="shared" si="43"/>
        <v>35-40</v>
      </c>
    </row>
    <row r="205" spans="1:22" x14ac:dyDescent="0.3">
      <c r="A205" s="7" t="s">
        <v>222</v>
      </c>
      <c r="B205" s="8" t="s">
        <v>1226</v>
      </c>
      <c r="C205" s="8">
        <v>28</v>
      </c>
      <c r="D205" s="8" t="s">
        <v>720</v>
      </c>
      <c r="E205" s="8" t="s">
        <v>723</v>
      </c>
      <c r="F205" s="7" t="s">
        <v>735</v>
      </c>
      <c r="G205" s="7" t="s">
        <v>763</v>
      </c>
      <c r="H205" s="7" t="s">
        <v>861</v>
      </c>
      <c r="I205" s="7" t="s">
        <v>897</v>
      </c>
      <c r="J205" s="7">
        <f t="shared" si="33"/>
        <v>7</v>
      </c>
      <c r="K205" s="9">
        <f t="shared" si="34"/>
        <v>70000</v>
      </c>
      <c r="L205" s="7">
        <v>1</v>
      </c>
      <c r="M205" s="9">
        <f t="shared" si="35"/>
        <v>70000</v>
      </c>
      <c r="N205" s="9">
        <f t="shared" si="36"/>
        <v>42000</v>
      </c>
      <c r="O205" s="7" t="s">
        <v>1006</v>
      </c>
      <c r="P205" s="10">
        <f t="shared" si="37"/>
        <v>7.0000000000000007E-2</v>
      </c>
      <c r="Q205" s="9">
        <f t="shared" si="38"/>
        <v>4900.0000000000009</v>
      </c>
      <c r="R205" s="9">
        <f t="shared" si="39"/>
        <v>65100</v>
      </c>
      <c r="S205" s="9" t="str">
        <f t="shared" si="40"/>
        <v>Profit</v>
      </c>
      <c r="T205" s="7" t="str">
        <f t="shared" si="41"/>
        <v>Feb</v>
      </c>
      <c r="U205" s="7">
        <f t="shared" si="42"/>
        <v>2025</v>
      </c>
      <c r="V205" s="7" t="str">
        <f t="shared" si="43"/>
        <v>25-30</v>
      </c>
    </row>
    <row r="206" spans="1:22" x14ac:dyDescent="0.3">
      <c r="A206" s="7" t="s">
        <v>223</v>
      </c>
      <c r="B206" s="8" t="s">
        <v>1227</v>
      </c>
      <c r="C206" s="8">
        <v>50</v>
      </c>
      <c r="D206" s="8" t="s">
        <v>721</v>
      </c>
      <c r="E206" s="8" t="s">
        <v>723</v>
      </c>
      <c r="F206" s="7" t="s">
        <v>729</v>
      </c>
      <c r="G206" s="7" t="s">
        <v>870</v>
      </c>
      <c r="H206" s="7" t="s">
        <v>890</v>
      </c>
      <c r="I206" s="7" t="s">
        <v>809</v>
      </c>
      <c r="J206" s="7">
        <f t="shared" si="33"/>
        <v>7</v>
      </c>
      <c r="K206" s="9">
        <f t="shared" si="34"/>
        <v>70000</v>
      </c>
      <c r="L206" s="7">
        <v>4</v>
      </c>
      <c r="M206" s="9">
        <f t="shared" si="35"/>
        <v>280000</v>
      </c>
      <c r="N206" s="9">
        <f t="shared" si="36"/>
        <v>168000</v>
      </c>
      <c r="O206" s="7" t="s">
        <v>1007</v>
      </c>
      <c r="P206" s="10">
        <f t="shared" si="37"/>
        <v>0</v>
      </c>
      <c r="Q206" s="9">
        <f t="shared" si="38"/>
        <v>0</v>
      </c>
      <c r="R206" s="9">
        <f t="shared" si="39"/>
        <v>5000</v>
      </c>
      <c r="S206" s="9" t="str">
        <f t="shared" si="40"/>
        <v>Loss</v>
      </c>
      <c r="T206" s="7" t="str">
        <f t="shared" si="41"/>
        <v>Apr</v>
      </c>
      <c r="U206" s="7">
        <f t="shared" si="42"/>
        <v>2025</v>
      </c>
      <c r="V206" s="7" t="str">
        <f t="shared" si="43"/>
        <v>50-55</v>
      </c>
    </row>
    <row r="207" spans="1:22" x14ac:dyDescent="0.3">
      <c r="A207" s="7" t="s">
        <v>224</v>
      </c>
      <c r="B207" s="8" t="s">
        <v>1228</v>
      </c>
      <c r="C207" s="8">
        <v>52</v>
      </c>
      <c r="D207" s="8" t="s">
        <v>720</v>
      </c>
      <c r="E207" s="8" t="s">
        <v>724</v>
      </c>
      <c r="F207" s="7" t="s">
        <v>734</v>
      </c>
      <c r="G207" s="7" t="s">
        <v>864</v>
      </c>
      <c r="H207" s="7" t="s">
        <v>792</v>
      </c>
      <c r="I207" s="7" t="s">
        <v>980</v>
      </c>
      <c r="J207" s="7">
        <f t="shared" si="33"/>
        <v>10</v>
      </c>
      <c r="K207" s="9">
        <f t="shared" si="34"/>
        <v>120000</v>
      </c>
      <c r="L207" s="7">
        <v>3</v>
      </c>
      <c r="M207" s="9">
        <f t="shared" si="35"/>
        <v>360000</v>
      </c>
      <c r="N207" s="9">
        <f t="shared" si="36"/>
        <v>234000</v>
      </c>
      <c r="O207" s="7" t="s">
        <v>1006</v>
      </c>
      <c r="P207" s="10">
        <f t="shared" si="37"/>
        <v>0.15</v>
      </c>
      <c r="Q207" s="9">
        <f t="shared" si="38"/>
        <v>54000</v>
      </c>
      <c r="R207" s="9">
        <f t="shared" si="39"/>
        <v>306000</v>
      </c>
      <c r="S207" s="9" t="str">
        <f t="shared" si="40"/>
        <v>Profit</v>
      </c>
      <c r="T207" s="7" t="str">
        <f t="shared" si="41"/>
        <v>Aug</v>
      </c>
      <c r="U207" s="7">
        <f t="shared" si="42"/>
        <v>2025</v>
      </c>
      <c r="V207" s="7" t="str">
        <f t="shared" si="43"/>
        <v>50-55</v>
      </c>
    </row>
    <row r="208" spans="1:22" x14ac:dyDescent="0.3">
      <c r="A208" s="7" t="s">
        <v>225</v>
      </c>
      <c r="B208" s="8" t="s">
        <v>1229</v>
      </c>
      <c r="C208" s="8">
        <v>52</v>
      </c>
      <c r="D208" s="8" t="s">
        <v>720</v>
      </c>
      <c r="E208" s="8" t="s">
        <v>724</v>
      </c>
      <c r="F208" s="7" t="s">
        <v>1735</v>
      </c>
      <c r="G208" s="7" t="s">
        <v>870</v>
      </c>
      <c r="H208" s="7" t="s">
        <v>846</v>
      </c>
      <c r="I208" s="7" t="s">
        <v>749</v>
      </c>
      <c r="J208" s="7">
        <f t="shared" si="33"/>
        <v>10</v>
      </c>
      <c r="K208" s="9">
        <f t="shared" si="34"/>
        <v>120000</v>
      </c>
      <c r="L208" s="7">
        <v>2</v>
      </c>
      <c r="M208" s="9">
        <f t="shared" si="35"/>
        <v>240000</v>
      </c>
      <c r="N208" s="9">
        <f t="shared" si="36"/>
        <v>156000</v>
      </c>
      <c r="O208" s="7" t="s">
        <v>1007</v>
      </c>
      <c r="P208" s="10">
        <f t="shared" si="37"/>
        <v>0</v>
      </c>
      <c r="Q208" s="9">
        <f t="shared" si="38"/>
        <v>0</v>
      </c>
      <c r="R208" s="9">
        <f t="shared" si="39"/>
        <v>5000</v>
      </c>
      <c r="S208" s="9" t="str">
        <f t="shared" si="40"/>
        <v>Loss</v>
      </c>
      <c r="T208" s="7" t="str">
        <f t="shared" si="41"/>
        <v>Apr</v>
      </c>
      <c r="U208" s="7">
        <f t="shared" si="42"/>
        <v>2025</v>
      </c>
      <c r="V208" s="7" t="str">
        <f t="shared" si="43"/>
        <v>50-55</v>
      </c>
    </row>
    <row r="209" spans="1:22" x14ac:dyDescent="0.3">
      <c r="A209" s="7" t="s">
        <v>226</v>
      </c>
      <c r="B209" s="8" t="s">
        <v>1230</v>
      </c>
      <c r="C209" s="8">
        <v>49</v>
      </c>
      <c r="D209" s="8" t="s">
        <v>721</v>
      </c>
      <c r="E209" s="8" t="s">
        <v>722</v>
      </c>
      <c r="F209" s="7" t="s">
        <v>729</v>
      </c>
      <c r="G209" s="7" t="s">
        <v>807</v>
      </c>
      <c r="H209" s="7" t="s">
        <v>855</v>
      </c>
      <c r="I209" s="7" t="s">
        <v>896</v>
      </c>
      <c r="J209" s="7">
        <f t="shared" si="33"/>
        <v>5</v>
      </c>
      <c r="K209" s="9">
        <f t="shared" si="34"/>
        <v>60000</v>
      </c>
      <c r="L209" s="7">
        <v>3</v>
      </c>
      <c r="M209" s="9">
        <f t="shared" si="35"/>
        <v>180000</v>
      </c>
      <c r="N209" s="9">
        <f t="shared" si="36"/>
        <v>117000</v>
      </c>
      <c r="O209" s="7" t="s">
        <v>1006</v>
      </c>
      <c r="P209" s="10">
        <f t="shared" si="37"/>
        <v>0.1</v>
      </c>
      <c r="Q209" s="9">
        <f t="shared" si="38"/>
        <v>18000</v>
      </c>
      <c r="R209" s="9">
        <f t="shared" si="39"/>
        <v>162000</v>
      </c>
      <c r="S209" s="9" t="str">
        <f t="shared" si="40"/>
        <v>Profit</v>
      </c>
      <c r="T209" s="7" t="str">
        <f t="shared" si="41"/>
        <v>Feb</v>
      </c>
      <c r="U209" s="7">
        <f t="shared" si="42"/>
        <v>2025</v>
      </c>
      <c r="V209" s="7" t="str">
        <f t="shared" si="43"/>
        <v>45-50</v>
      </c>
    </row>
    <row r="210" spans="1:22" x14ac:dyDescent="0.3">
      <c r="A210" s="7" t="s">
        <v>227</v>
      </c>
      <c r="B210" s="8" t="s">
        <v>1231</v>
      </c>
      <c r="C210" s="8">
        <v>55</v>
      </c>
      <c r="D210" s="8" t="s">
        <v>720</v>
      </c>
      <c r="E210" s="8" t="s">
        <v>724</v>
      </c>
      <c r="F210" s="7" t="s">
        <v>1736</v>
      </c>
      <c r="G210" s="7" t="s">
        <v>871</v>
      </c>
      <c r="H210" s="7" t="s">
        <v>813</v>
      </c>
      <c r="I210" s="7" t="s">
        <v>877</v>
      </c>
      <c r="J210" s="7">
        <f t="shared" si="33"/>
        <v>10</v>
      </c>
      <c r="K210" s="9">
        <f t="shared" si="34"/>
        <v>120000</v>
      </c>
      <c r="L210" s="7">
        <v>2</v>
      </c>
      <c r="M210" s="9">
        <f t="shared" si="35"/>
        <v>240000</v>
      </c>
      <c r="N210" s="9">
        <f t="shared" si="36"/>
        <v>156000</v>
      </c>
      <c r="O210" s="7" t="s">
        <v>1007</v>
      </c>
      <c r="P210" s="10">
        <f t="shared" si="37"/>
        <v>0</v>
      </c>
      <c r="Q210" s="9">
        <f t="shared" si="38"/>
        <v>0</v>
      </c>
      <c r="R210" s="9">
        <f t="shared" si="39"/>
        <v>5000</v>
      </c>
      <c r="S210" s="9" t="str">
        <f t="shared" si="40"/>
        <v>Loss</v>
      </c>
      <c r="T210" s="7" t="str">
        <f t="shared" si="41"/>
        <v>Feb</v>
      </c>
      <c r="U210" s="7">
        <f t="shared" si="42"/>
        <v>2025</v>
      </c>
      <c r="V210" s="7" t="str">
        <f t="shared" si="43"/>
        <v>55-60</v>
      </c>
    </row>
    <row r="211" spans="1:22" x14ac:dyDescent="0.3">
      <c r="A211" s="7" t="s">
        <v>228</v>
      </c>
      <c r="B211" s="8" t="s">
        <v>1232</v>
      </c>
      <c r="C211" s="8">
        <v>18</v>
      </c>
      <c r="D211" s="8" t="s">
        <v>721</v>
      </c>
      <c r="E211" s="8" t="s">
        <v>723</v>
      </c>
      <c r="F211" s="7" t="s">
        <v>1730</v>
      </c>
      <c r="G211" s="7" t="s">
        <v>872</v>
      </c>
      <c r="H211" s="7" t="s">
        <v>839</v>
      </c>
      <c r="I211" s="7" t="s">
        <v>905</v>
      </c>
      <c r="J211" s="7">
        <f t="shared" si="33"/>
        <v>7</v>
      </c>
      <c r="K211" s="9">
        <f t="shared" si="34"/>
        <v>70000</v>
      </c>
      <c r="L211" s="7">
        <v>2</v>
      </c>
      <c r="M211" s="9">
        <f t="shared" si="35"/>
        <v>140000</v>
      </c>
      <c r="N211" s="9">
        <f t="shared" si="36"/>
        <v>84000</v>
      </c>
      <c r="O211" s="7" t="s">
        <v>1006</v>
      </c>
      <c r="P211" s="10">
        <f t="shared" si="37"/>
        <v>7.0000000000000007E-2</v>
      </c>
      <c r="Q211" s="9">
        <f t="shared" si="38"/>
        <v>9800.0000000000018</v>
      </c>
      <c r="R211" s="9">
        <f t="shared" si="39"/>
        <v>130200</v>
      </c>
      <c r="S211" s="9" t="str">
        <f t="shared" si="40"/>
        <v>Profit</v>
      </c>
      <c r="T211" s="7" t="str">
        <f t="shared" si="41"/>
        <v>Jul</v>
      </c>
      <c r="U211" s="7">
        <f t="shared" si="42"/>
        <v>2025</v>
      </c>
      <c r="V211" s="7" t="str">
        <f t="shared" si="43"/>
        <v>15-20</v>
      </c>
    </row>
    <row r="212" spans="1:22" x14ac:dyDescent="0.3">
      <c r="A212" s="7" t="s">
        <v>229</v>
      </c>
      <c r="B212" s="8" t="s">
        <v>1233</v>
      </c>
      <c r="C212" s="8">
        <v>29</v>
      </c>
      <c r="D212" s="8" t="s">
        <v>720</v>
      </c>
      <c r="E212" s="8" t="s">
        <v>725</v>
      </c>
      <c r="F212" s="7" t="s">
        <v>728</v>
      </c>
      <c r="G212" s="7" t="s">
        <v>748</v>
      </c>
      <c r="H212" s="7" t="s">
        <v>911</v>
      </c>
      <c r="I212" s="7" t="s">
        <v>818</v>
      </c>
      <c r="J212" s="7">
        <f t="shared" si="33"/>
        <v>8</v>
      </c>
      <c r="K212" s="9">
        <f t="shared" si="34"/>
        <v>80000</v>
      </c>
      <c r="L212" s="7">
        <v>2</v>
      </c>
      <c r="M212" s="9">
        <f t="shared" si="35"/>
        <v>160000</v>
      </c>
      <c r="N212" s="9">
        <f t="shared" si="36"/>
        <v>96000</v>
      </c>
      <c r="O212" s="7" t="s">
        <v>1006</v>
      </c>
      <c r="P212" s="10">
        <f t="shared" si="37"/>
        <v>0.12</v>
      </c>
      <c r="Q212" s="9">
        <f t="shared" si="38"/>
        <v>19200</v>
      </c>
      <c r="R212" s="9">
        <f t="shared" si="39"/>
        <v>140800</v>
      </c>
      <c r="S212" s="9" t="str">
        <f t="shared" si="40"/>
        <v>Profit</v>
      </c>
      <c r="T212" s="7" t="str">
        <f t="shared" si="41"/>
        <v>May</v>
      </c>
      <c r="U212" s="7">
        <f t="shared" si="42"/>
        <v>2025</v>
      </c>
      <c r="V212" s="7" t="str">
        <f t="shared" si="43"/>
        <v>25-30</v>
      </c>
    </row>
    <row r="213" spans="1:22" x14ac:dyDescent="0.3">
      <c r="A213" s="7" t="s">
        <v>230</v>
      </c>
      <c r="B213" s="8" t="s">
        <v>1234</v>
      </c>
      <c r="C213" s="8">
        <v>28</v>
      </c>
      <c r="D213" s="8" t="s">
        <v>721</v>
      </c>
      <c r="E213" s="8" t="s">
        <v>725</v>
      </c>
      <c r="F213" s="7" t="s">
        <v>731</v>
      </c>
      <c r="G213" s="7" t="s">
        <v>873</v>
      </c>
      <c r="H213" s="7" t="s">
        <v>904</v>
      </c>
      <c r="I213" s="7" t="s">
        <v>838</v>
      </c>
      <c r="J213" s="7">
        <f t="shared" si="33"/>
        <v>8</v>
      </c>
      <c r="K213" s="9">
        <f t="shared" si="34"/>
        <v>80000</v>
      </c>
      <c r="L213" s="7">
        <v>4</v>
      </c>
      <c r="M213" s="9">
        <f t="shared" si="35"/>
        <v>320000</v>
      </c>
      <c r="N213" s="9">
        <f t="shared" si="36"/>
        <v>192000</v>
      </c>
      <c r="O213" s="7" t="s">
        <v>1007</v>
      </c>
      <c r="P213" s="10">
        <f t="shared" si="37"/>
        <v>0</v>
      </c>
      <c r="Q213" s="9">
        <f t="shared" si="38"/>
        <v>0</v>
      </c>
      <c r="R213" s="9">
        <f t="shared" si="39"/>
        <v>5000</v>
      </c>
      <c r="S213" s="9" t="str">
        <f t="shared" si="40"/>
        <v>Loss</v>
      </c>
      <c r="T213" s="7" t="str">
        <f t="shared" si="41"/>
        <v>Jul</v>
      </c>
      <c r="U213" s="7">
        <f t="shared" si="42"/>
        <v>2025</v>
      </c>
      <c r="V213" s="7" t="str">
        <f t="shared" si="43"/>
        <v>25-30</v>
      </c>
    </row>
    <row r="214" spans="1:22" x14ac:dyDescent="0.3">
      <c r="A214" s="7" t="s">
        <v>231</v>
      </c>
      <c r="B214" s="8" t="s">
        <v>1235</v>
      </c>
      <c r="C214" s="8">
        <v>43</v>
      </c>
      <c r="D214" s="8" t="s">
        <v>721</v>
      </c>
      <c r="E214" s="8" t="s">
        <v>722</v>
      </c>
      <c r="F214" s="7" t="s">
        <v>729</v>
      </c>
      <c r="G214" s="7" t="s">
        <v>750</v>
      </c>
      <c r="H214" s="7" t="s">
        <v>910</v>
      </c>
      <c r="I214" s="7" t="s">
        <v>743</v>
      </c>
      <c r="J214" s="7">
        <f t="shared" si="33"/>
        <v>5</v>
      </c>
      <c r="K214" s="9">
        <f t="shared" si="34"/>
        <v>60000</v>
      </c>
      <c r="L214" s="7">
        <v>1</v>
      </c>
      <c r="M214" s="9">
        <f t="shared" si="35"/>
        <v>60000</v>
      </c>
      <c r="N214" s="9">
        <f t="shared" si="36"/>
        <v>39000</v>
      </c>
      <c r="O214" s="7" t="s">
        <v>1006</v>
      </c>
      <c r="P214" s="10">
        <f t="shared" si="37"/>
        <v>0.1</v>
      </c>
      <c r="Q214" s="9">
        <f t="shared" si="38"/>
        <v>6000</v>
      </c>
      <c r="R214" s="9">
        <f t="shared" si="39"/>
        <v>54000</v>
      </c>
      <c r="S214" s="9" t="str">
        <f t="shared" si="40"/>
        <v>Profit</v>
      </c>
      <c r="T214" s="7" t="str">
        <f t="shared" si="41"/>
        <v>May</v>
      </c>
      <c r="U214" s="7">
        <f t="shared" si="42"/>
        <v>2025</v>
      </c>
      <c r="V214" s="7" t="str">
        <f t="shared" si="43"/>
        <v>40-45</v>
      </c>
    </row>
    <row r="215" spans="1:22" x14ac:dyDescent="0.3">
      <c r="A215" s="7" t="s">
        <v>232</v>
      </c>
      <c r="B215" s="8" t="s">
        <v>1236</v>
      </c>
      <c r="C215" s="8">
        <v>26</v>
      </c>
      <c r="D215" s="8" t="s">
        <v>721</v>
      </c>
      <c r="E215" s="8" t="s">
        <v>725</v>
      </c>
      <c r="F215" s="7" t="s">
        <v>735</v>
      </c>
      <c r="G215" s="7" t="s">
        <v>847</v>
      </c>
      <c r="H215" s="7" t="s">
        <v>836</v>
      </c>
      <c r="I215" s="7" t="s">
        <v>881</v>
      </c>
      <c r="J215" s="7">
        <f t="shared" si="33"/>
        <v>8</v>
      </c>
      <c r="K215" s="9">
        <f t="shared" si="34"/>
        <v>80000</v>
      </c>
      <c r="L215" s="7">
        <v>2</v>
      </c>
      <c r="M215" s="9">
        <f t="shared" si="35"/>
        <v>160000</v>
      </c>
      <c r="N215" s="9">
        <f t="shared" si="36"/>
        <v>96000</v>
      </c>
      <c r="O215" s="7" t="s">
        <v>1007</v>
      </c>
      <c r="P215" s="10">
        <f t="shared" si="37"/>
        <v>0</v>
      </c>
      <c r="Q215" s="9">
        <f t="shared" si="38"/>
        <v>0</v>
      </c>
      <c r="R215" s="9">
        <f t="shared" si="39"/>
        <v>5000</v>
      </c>
      <c r="S215" s="9" t="str">
        <f t="shared" si="40"/>
        <v>Loss</v>
      </c>
      <c r="T215" s="7" t="str">
        <f t="shared" si="41"/>
        <v>Jul</v>
      </c>
      <c r="U215" s="7">
        <f t="shared" si="42"/>
        <v>2025</v>
      </c>
      <c r="V215" s="7" t="str">
        <f t="shared" si="43"/>
        <v>25-30</v>
      </c>
    </row>
    <row r="216" spans="1:22" x14ac:dyDescent="0.3">
      <c r="A216" s="7" t="s">
        <v>233</v>
      </c>
      <c r="B216" s="8" t="s">
        <v>1237</v>
      </c>
      <c r="C216" s="8">
        <v>57</v>
      </c>
      <c r="D216" s="8" t="s">
        <v>720</v>
      </c>
      <c r="E216" s="8" t="s">
        <v>723</v>
      </c>
      <c r="F216" s="7" t="s">
        <v>727</v>
      </c>
      <c r="G216" s="7" t="s">
        <v>874</v>
      </c>
      <c r="H216" s="7" t="s">
        <v>948</v>
      </c>
      <c r="I216" s="7" t="s">
        <v>848</v>
      </c>
      <c r="J216" s="7">
        <f t="shared" si="33"/>
        <v>7</v>
      </c>
      <c r="K216" s="9">
        <f t="shared" si="34"/>
        <v>70000</v>
      </c>
      <c r="L216" s="7">
        <v>3</v>
      </c>
      <c r="M216" s="9">
        <f t="shared" si="35"/>
        <v>210000</v>
      </c>
      <c r="N216" s="9">
        <f t="shared" si="36"/>
        <v>126000</v>
      </c>
      <c r="O216" s="7" t="s">
        <v>1007</v>
      </c>
      <c r="P216" s="10">
        <f t="shared" si="37"/>
        <v>0</v>
      </c>
      <c r="Q216" s="9">
        <f t="shared" si="38"/>
        <v>0</v>
      </c>
      <c r="R216" s="9">
        <f t="shared" si="39"/>
        <v>5000</v>
      </c>
      <c r="S216" s="9" t="str">
        <f t="shared" si="40"/>
        <v>Loss</v>
      </c>
      <c r="T216" s="7" t="str">
        <f t="shared" si="41"/>
        <v>Feb</v>
      </c>
      <c r="U216" s="7">
        <f t="shared" si="42"/>
        <v>2025</v>
      </c>
      <c r="V216" s="7" t="str">
        <f t="shared" si="43"/>
        <v>55-60</v>
      </c>
    </row>
    <row r="217" spans="1:22" x14ac:dyDescent="0.3">
      <c r="A217" s="7" t="s">
        <v>234</v>
      </c>
      <c r="B217" s="8" t="s">
        <v>1238</v>
      </c>
      <c r="C217" s="8">
        <v>21</v>
      </c>
      <c r="D217" s="8" t="s">
        <v>721</v>
      </c>
      <c r="E217" s="8" t="s">
        <v>726</v>
      </c>
      <c r="F217" s="7" t="s">
        <v>732</v>
      </c>
      <c r="G217" s="7" t="s">
        <v>854</v>
      </c>
      <c r="H217" s="7" t="s">
        <v>782</v>
      </c>
      <c r="I217" s="7" t="s">
        <v>903</v>
      </c>
      <c r="J217" s="7">
        <f t="shared" si="33"/>
        <v>4</v>
      </c>
      <c r="K217" s="9">
        <f t="shared" si="34"/>
        <v>18000</v>
      </c>
      <c r="L217" s="7">
        <v>3</v>
      </c>
      <c r="M217" s="9">
        <f t="shared" si="35"/>
        <v>54000</v>
      </c>
      <c r="N217" s="9">
        <f t="shared" si="36"/>
        <v>27000</v>
      </c>
      <c r="O217" s="7" t="s">
        <v>1006</v>
      </c>
      <c r="P217" s="10">
        <f t="shared" si="37"/>
        <v>0.05</v>
      </c>
      <c r="Q217" s="9">
        <f t="shared" si="38"/>
        <v>2700</v>
      </c>
      <c r="R217" s="9">
        <f t="shared" si="39"/>
        <v>51300</v>
      </c>
      <c r="S217" s="9" t="str">
        <f t="shared" si="40"/>
        <v>Profit</v>
      </c>
      <c r="T217" s="7" t="str">
        <f t="shared" si="41"/>
        <v>Apr</v>
      </c>
      <c r="U217" s="7">
        <f t="shared" si="42"/>
        <v>2025</v>
      </c>
      <c r="V217" s="7" t="str">
        <f t="shared" si="43"/>
        <v>20-25</v>
      </c>
    </row>
    <row r="218" spans="1:22" x14ac:dyDescent="0.3">
      <c r="A218" s="7" t="s">
        <v>235</v>
      </c>
      <c r="B218" s="8" t="s">
        <v>1239</v>
      </c>
      <c r="C218" s="8">
        <v>41</v>
      </c>
      <c r="D218" s="8" t="s">
        <v>721</v>
      </c>
      <c r="E218" s="8" t="s">
        <v>724</v>
      </c>
      <c r="F218" s="7" t="s">
        <v>1736</v>
      </c>
      <c r="G218" s="7" t="s">
        <v>760</v>
      </c>
      <c r="H218" s="7" t="s">
        <v>868</v>
      </c>
      <c r="I218" s="7" t="s">
        <v>951</v>
      </c>
      <c r="J218" s="7">
        <f t="shared" si="33"/>
        <v>10</v>
      </c>
      <c r="K218" s="9">
        <f t="shared" si="34"/>
        <v>120000</v>
      </c>
      <c r="L218" s="7">
        <v>3</v>
      </c>
      <c r="M218" s="9">
        <f t="shared" si="35"/>
        <v>360000</v>
      </c>
      <c r="N218" s="9">
        <f t="shared" si="36"/>
        <v>234000</v>
      </c>
      <c r="O218" s="7" t="s">
        <v>1007</v>
      </c>
      <c r="P218" s="10">
        <f t="shared" si="37"/>
        <v>0</v>
      </c>
      <c r="Q218" s="9">
        <f t="shared" si="38"/>
        <v>0</v>
      </c>
      <c r="R218" s="9">
        <f t="shared" si="39"/>
        <v>5000</v>
      </c>
      <c r="S218" s="9" t="str">
        <f t="shared" si="40"/>
        <v>Loss</v>
      </c>
      <c r="T218" s="7" t="str">
        <f t="shared" si="41"/>
        <v>Mar</v>
      </c>
      <c r="U218" s="7">
        <f t="shared" si="42"/>
        <v>2025</v>
      </c>
      <c r="V218" s="7" t="str">
        <f t="shared" si="43"/>
        <v>40-45</v>
      </c>
    </row>
    <row r="219" spans="1:22" x14ac:dyDescent="0.3">
      <c r="A219" s="7" t="s">
        <v>236</v>
      </c>
      <c r="B219" s="8" t="s">
        <v>1240</v>
      </c>
      <c r="C219" s="8">
        <v>45</v>
      </c>
      <c r="D219" s="8" t="s">
        <v>720</v>
      </c>
      <c r="E219" s="8" t="s">
        <v>723</v>
      </c>
      <c r="F219" s="7" t="s">
        <v>734</v>
      </c>
      <c r="G219" s="7" t="s">
        <v>875</v>
      </c>
      <c r="H219" s="7" t="s">
        <v>969</v>
      </c>
      <c r="I219" s="7" t="s">
        <v>994</v>
      </c>
      <c r="J219" s="7">
        <f t="shared" si="33"/>
        <v>7</v>
      </c>
      <c r="K219" s="9">
        <f t="shared" si="34"/>
        <v>70000</v>
      </c>
      <c r="L219" s="7">
        <v>4</v>
      </c>
      <c r="M219" s="9">
        <f t="shared" si="35"/>
        <v>280000</v>
      </c>
      <c r="N219" s="9">
        <f t="shared" si="36"/>
        <v>168000</v>
      </c>
      <c r="O219" s="7" t="s">
        <v>1007</v>
      </c>
      <c r="P219" s="10">
        <f t="shared" si="37"/>
        <v>0</v>
      </c>
      <c r="Q219" s="9">
        <f t="shared" si="38"/>
        <v>0</v>
      </c>
      <c r="R219" s="9">
        <f t="shared" si="39"/>
        <v>5000</v>
      </c>
      <c r="S219" s="9" t="str">
        <f t="shared" si="40"/>
        <v>Loss</v>
      </c>
      <c r="T219" s="7" t="str">
        <f t="shared" si="41"/>
        <v>Aug</v>
      </c>
      <c r="U219" s="7">
        <f t="shared" si="42"/>
        <v>2025</v>
      </c>
      <c r="V219" s="7" t="str">
        <f t="shared" si="43"/>
        <v>45-50</v>
      </c>
    </row>
    <row r="220" spans="1:22" x14ac:dyDescent="0.3">
      <c r="A220" s="7" t="s">
        <v>237</v>
      </c>
      <c r="B220" s="8" t="s">
        <v>1241</v>
      </c>
      <c r="C220" s="8">
        <v>26</v>
      </c>
      <c r="D220" s="8" t="s">
        <v>720</v>
      </c>
      <c r="E220" s="8" t="s">
        <v>722</v>
      </c>
      <c r="F220" s="7" t="s">
        <v>727</v>
      </c>
      <c r="G220" s="7" t="s">
        <v>822</v>
      </c>
      <c r="H220" s="7" t="s">
        <v>876</v>
      </c>
      <c r="I220" s="7" t="s">
        <v>934</v>
      </c>
      <c r="J220" s="7">
        <f t="shared" si="33"/>
        <v>5</v>
      </c>
      <c r="K220" s="9">
        <f t="shared" si="34"/>
        <v>60000</v>
      </c>
      <c r="L220" s="7">
        <v>3</v>
      </c>
      <c r="M220" s="9">
        <f t="shared" si="35"/>
        <v>180000</v>
      </c>
      <c r="N220" s="9">
        <f t="shared" si="36"/>
        <v>117000</v>
      </c>
      <c r="O220" s="7" t="s">
        <v>1007</v>
      </c>
      <c r="P220" s="10">
        <f t="shared" si="37"/>
        <v>0</v>
      </c>
      <c r="Q220" s="9">
        <f t="shared" si="38"/>
        <v>0</v>
      </c>
      <c r="R220" s="9">
        <f t="shared" si="39"/>
        <v>5000</v>
      </c>
      <c r="S220" s="9" t="str">
        <f t="shared" si="40"/>
        <v>Loss</v>
      </c>
      <c r="T220" s="7" t="str">
        <f t="shared" si="41"/>
        <v>Jan</v>
      </c>
      <c r="U220" s="7">
        <f t="shared" si="42"/>
        <v>2025</v>
      </c>
      <c r="V220" s="7" t="str">
        <f t="shared" si="43"/>
        <v>25-30</v>
      </c>
    </row>
    <row r="221" spans="1:22" x14ac:dyDescent="0.3">
      <c r="A221" s="7" t="s">
        <v>238</v>
      </c>
      <c r="B221" s="8" t="s">
        <v>1242</v>
      </c>
      <c r="C221" s="8">
        <v>19</v>
      </c>
      <c r="D221" s="8" t="s">
        <v>720</v>
      </c>
      <c r="E221" s="8" t="s">
        <v>724</v>
      </c>
      <c r="F221" s="7" t="s">
        <v>735</v>
      </c>
      <c r="G221" s="7" t="s">
        <v>858</v>
      </c>
      <c r="H221" s="7" t="s">
        <v>749</v>
      </c>
      <c r="I221" s="7" t="s">
        <v>816</v>
      </c>
      <c r="J221" s="7">
        <f t="shared" si="33"/>
        <v>10</v>
      </c>
      <c r="K221" s="9">
        <f t="shared" si="34"/>
        <v>120000</v>
      </c>
      <c r="L221" s="7">
        <v>2</v>
      </c>
      <c r="M221" s="9">
        <f t="shared" si="35"/>
        <v>240000</v>
      </c>
      <c r="N221" s="9">
        <f t="shared" si="36"/>
        <v>156000</v>
      </c>
      <c r="O221" s="7" t="s">
        <v>1006</v>
      </c>
      <c r="P221" s="10">
        <f t="shared" si="37"/>
        <v>0.15</v>
      </c>
      <c r="Q221" s="9">
        <f t="shared" si="38"/>
        <v>36000</v>
      </c>
      <c r="R221" s="9">
        <f t="shared" si="39"/>
        <v>204000</v>
      </c>
      <c r="S221" s="9" t="str">
        <f t="shared" si="40"/>
        <v>Profit</v>
      </c>
      <c r="T221" s="7" t="str">
        <f t="shared" si="41"/>
        <v>Apr</v>
      </c>
      <c r="U221" s="7">
        <f t="shared" si="42"/>
        <v>2025</v>
      </c>
      <c r="V221" s="7" t="str">
        <f t="shared" si="43"/>
        <v>15-20</v>
      </c>
    </row>
    <row r="222" spans="1:22" x14ac:dyDescent="0.3">
      <c r="A222" s="7" t="s">
        <v>239</v>
      </c>
      <c r="B222" s="8" t="s">
        <v>1243</v>
      </c>
      <c r="C222" s="8">
        <v>31</v>
      </c>
      <c r="D222" s="8" t="s">
        <v>720</v>
      </c>
      <c r="E222" s="8" t="s">
        <v>725</v>
      </c>
      <c r="F222" s="7" t="s">
        <v>729</v>
      </c>
      <c r="G222" s="7" t="s">
        <v>776</v>
      </c>
      <c r="H222" s="7" t="s">
        <v>978</v>
      </c>
      <c r="I222" s="7" t="s">
        <v>945</v>
      </c>
      <c r="J222" s="7">
        <f t="shared" si="33"/>
        <v>8</v>
      </c>
      <c r="K222" s="9">
        <f t="shared" si="34"/>
        <v>80000</v>
      </c>
      <c r="L222" s="7">
        <v>2</v>
      </c>
      <c r="M222" s="9">
        <f t="shared" si="35"/>
        <v>160000</v>
      </c>
      <c r="N222" s="9">
        <f t="shared" si="36"/>
        <v>96000</v>
      </c>
      <c r="O222" s="7" t="s">
        <v>1006</v>
      </c>
      <c r="P222" s="10">
        <f t="shared" si="37"/>
        <v>0.12</v>
      </c>
      <c r="Q222" s="9">
        <f t="shared" si="38"/>
        <v>19200</v>
      </c>
      <c r="R222" s="9">
        <f t="shared" si="39"/>
        <v>140800</v>
      </c>
      <c r="S222" s="9" t="str">
        <f t="shared" si="40"/>
        <v>Profit</v>
      </c>
      <c r="T222" s="7" t="str">
        <f t="shared" si="41"/>
        <v>May</v>
      </c>
      <c r="U222" s="7">
        <f t="shared" si="42"/>
        <v>2025</v>
      </c>
      <c r="V222" s="7" t="str">
        <f t="shared" si="43"/>
        <v>30-35</v>
      </c>
    </row>
    <row r="223" spans="1:22" x14ac:dyDescent="0.3">
      <c r="A223" s="7" t="s">
        <v>240</v>
      </c>
      <c r="B223" s="8" t="s">
        <v>1244</v>
      </c>
      <c r="C223" s="8">
        <v>27</v>
      </c>
      <c r="D223" s="8" t="s">
        <v>720</v>
      </c>
      <c r="E223" s="8" t="s">
        <v>725</v>
      </c>
      <c r="F223" s="7" t="s">
        <v>733</v>
      </c>
      <c r="G223" s="7" t="s">
        <v>876</v>
      </c>
      <c r="H223" s="7" t="s">
        <v>851</v>
      </c>
      <c r="I223" s="7" t="s">
        <v>773</v>
      </c>
      <c r="J223" s="7">
        <f t="shared" si="33"/>
        <v>8</v>
      </c>
      <c r="K223" s="9">
        <f t="shared" si="34"/>
        <v>80000</v>
      </c>
      <c r="L223" s="7">
        <v>2</v>
      </c>
      <c r="M223" s="9">
        <f t="shared" si="35"/>
        <v>160000</v>
      </c>
      <c r="N223" s="9">
        <f t="shared" si="36"/>
        <v>96000</v>
      </c>
      <c r="O223" s="7" t="s">
        <v>1007</v>
      </c>
      <c r="P223" s="10">
        <f t="shared" si="37"/>
        <v>0</v>
      </c>
      <c r="Q223" s="9">
        <f t="shared" si="38"/>
        <v>0</v>
      </c>
      <c r="R223" s="9">
        <f t="shared" si="39"/>
        <v>5000</v>
      </c>
      <c r="S223" s="9" t="str">
        <f t="shared" si="40"/>
        <v>Loss</v>
      </c>
      <c r="T223" s="7" t="str">
        <f t="shared" si="41"/>
        <v>Jan</v>
      </c>
      <c r="U223" s="7">
        <f t="shared" si="42"/>
        <v>2025</v>
      </c>
      <c r="V223" s="7" t="str">
        <f t="shared" si="43"/>
        <v>25-30</v>
      </c>
    </row>
    <row r="224" spans="1:22" x14ac:dyDescent="0.3">
      <c r="A224" s="7" t="s">
        <v>241</v>
      </c>
      <c r="B224" s="8" t="s">
        <v>1245</v>
      </c>
      <c r="C224" s="8">
        <v>26</v>
      </c>
      <c r="D224" s="8" t="s">
        <v>720</v>
      </c>
      <c r="E224" s="8" t="s">
        <v>726</v>
      </c>
      <c r="F224" s="7" t="s">
        <v>728</v>
      </c>
      <c r="G224" s="7" t="s">
        <v>745</v>
      </c>
      <c r="H224" s="7" t="s">
        <v>979</v>
      </c>
      <c r="I224" s="7" t="s">
        <v>743</v>
      </c>
      <c r="J224" s="7">
        <f t="shared" si="33"/>
        <v>4</v>
      </c>
      <c r="K224" s="9">
        <f t="shared" si="34"/>
        <v>18000</v>
      </c>
      <c r="L224" s="7">
        <v>4</v>
      </c>
      <c r="M224" s="9">
        <f t="shared" si="35"/>
        <v>72000</v>
      </c>
      <c r="N224" s="9">
        <f t="shared" si="36"/>
        <v>36000</v>
      </c>
      <c r="O224" s="7" t="s">
        <v>1006</v>
      </c>
      <c r="P224" s="10">
        <f t="shared" si="37"/>
        <v>0.05</v>
      </c>
      <c r="Q224" s="9">
        <f t="shared" si="38"/>
        <v>3600</v>
      </c>
      <c r="R224" s="9">
        <f t="shared" si="39"/>
        <v>68400</v>
      </c>
      <c r="S224" s="9" t="str">
        <f t="shared" si="40"/>
        <v>Profit</v>
      </c>
      <c r="T224" s="7" t="str">
        <f t="shared" si="41"/>
        <v>Jun</v>
      </c>
      <c r="U224" s="7">
        <f t="shared" si="42"/>
        <v>2025</v>
      </c>
      <c r="V224" s="7" t="str">
        <f t="shared" si="43"/>
        <v>25-30</v>
      </c>
    </row>
    <row r="225" spans="1:22" x14ac:dyDescent="0.3">
      <c r="A225" s="7" t="s">
        <v>242</v>
      </c>
      <c r="B225" s="8" t="s">
        <v>1246</v>
      </c>
      <c r="C225" s="8">
        <v>36</v>
      </c>
      <c r="D225" s="8" t="s">
        <v>721</v>
      </c>
      <c r="E225" s="8" t="s">
        <v>723</v>
      </c>
      <c r="F225" s="7" t="s">
        <v>735</v>
      </c>
      <c r="G225" s="7" t="s">
        <v>877</v>
      </c>
      <c r="H225" s="7" t="s">
        <v>940</v>
      </c>
      <c r="I225" s="7" t="s">
        <v>852</v>
      </c>
      <c r="J225" s="7">
        <f t="shared" si="33"/>
        <v>7</v>
      </c>
      <c r="K225" s="9">
        <f t="shared" si="34"/>
        <v>70000</v>
      </c>
      <c r="L225" s="7">
        <v>3</v>
      </c>
      <c r="M225" s="9">
        <f t="shared" si="35"/>
        <v>210000</v>
      </c>
      <c r="N225" s="9">
        <f t="shared" si="36"/>
        <v>126000</v>
      </c>
      <c r="O225" s="7" t="s">
        <v>1006</v>
      </c>
      <c r="P225" s="10">
        <f t="shared" si="37"/>
        <v>7.0000000000000007E-2</v>
      </c>
      <c r="Q225" s="9">
        <f t="shared" si="38"/>
        <v>14700.000000000002</v>
      </c>
      <c r="R225" s="9">
        <f t="shared" si="39"/>
        <v>195300</v>
      </c>
      <c r="S225" s="9" t="str">
        <f t="shared" si="40"/>
        <v>Profit</v>
      </c>
      <c r="T225" s="7" t="str">
        <f t="shared" si="41"/>
        <v>Mar</v>
      </c>
      <c r="U225" s="7">
        <f t="shared" si="42"/>
        <v>2025</v>
      </c>
      <c r="V225" s="7" t="str">
        <f t="shared" si="43"/>
        <v>35-40</v>
      </c>
    </row>
    <row r="226" spans="1:22" x14ac:dyDescent="0.3">
      <c r="A226" s="7" t="s">
        <v>243</v>
      </c>
      <c r="B226" s="8" t="s">
        <v>1247</v>
      </c>
      <c r="C226" s="8">
        <v>34</v>
      </c>
      <c r="D226" s="8" t="s">
        <v>721</v>
      </c>
      <c r="E226" s="8" t="s">
        <v>722</v>
      </c>
      <c r="F226" s="7" t="s">
        <v>730</v>
      </c>
      <c r="G226" s="7" t="s">
        <v>850</v>
      </c>
      <c r="H226" s="7" t="s">
        <v>743</v>
      </c>
      <c r="I226" s="7" t="s">
        <v>945</v>
      </c>
      <c r="J226" s="7">
        <f t="shared" si="33"/>
        <v>5</v>
      </c>
      <c r="K226" s="9">
        <f t="shared" si="34"/>
        <v>60000</v>
      </c>
      <c r="L226" s="7">
        <v>4</v>
      </c>
      <c r="M226" s="9">
        <f t="shared" si="35"/>
        <v>240000</v>
      </c>
      <c r="N226" s="9">
        <f t="shared" si="36"/>
        <v>156000</v>
      </c>
      <c r="O226" s="7" t="s">
        <v>1006</v>
      </c>
      <c r="P226" s="10">
        <f t="shared" si="37"/>
        <v>0.1</v>
      </c>
      <c r="Q226" s="9">
        <f t="shared" si="38"/>
        <v>24000</v>
      </c>
      <c r="R226" s="9">
        <f t="shared" si="39"/>
        <v>216000</v>
      </c>
      <c r="S226" s="9" t="str">
        <f t="shared" si="40"/>
        <v>Profit</v>
      </c>
      <c r="T226" s="7" t="str">
        <f t="shared" si="41"/>
        <v>May</v>
      </c>
      <c r="U226" s="7">
        <f t="shared" si="42"/>
        <v>2025</v>
      </c>
      <c r="V226" s="7" t="str">
        <f t="shared" si="43"/>
        <v>30-35</v>
      </c>
    </row>
    <row r="227" spans="1:22" x14ac:dyDescent="0.3">
      <c r="A227" s="7" t="s">
        <v>244</v>
      </c>
      <c r="B227" s="8" t="s">
        <v>1248</v>
      </c>
      <c r="C227" s="8">
        <v>56</v>
      </c>
      <c r="D227" s="8" t="s">
        <v>720</v>
      </c>
      <c r="E227" s="8" t="s">
        <v>726</v>
      </c>
      <c r="F227" s="7" t="s">
        <v>1727</v>
      </c>
      <c r="G227" s="7" t="s">
        <v>878</v>
      </c>
      <c r="H227" s="7" t="s">
        <v>887</v>
      </c>
      <c r="I227" s="7" t="s">
        <v>756</v>
      </c>
      <c r="J227" s="7">
        <f t="shared" si="33"/>
        <v>4</v>
      </c>
      <c r="K227" s="9">
        <f t="shared" si="34"/>
        <v>18000</v>
      </c>
      <c r="L227" s="7">
        <v>3</v>
      </c>
      <c r="M227" s="9">
        <f t="shared" si="35"/>
        <v>54000</v>
      </c>
      <c r="N227" s="9">
        <f t="shared" si="36"/>
        <v>27000</v>
      </c>
      <c r="O227" s="7" t="s">
        <v>1007</v>
      </c>
      <c r="P227" s="10">
        <f t="shared" si="37"/>
        <v>0</v>
      </c>
      <c r="Q227" s="9">
        <f t="shared" si="38"/>
        <v>0</v>
      </c>
      <c r="R227" s="9">
        <f t="shared" si="39"/>
        <v>5000</v>
      </c>
      <c r="S227" s="9" t="str">
        <f t="shared" si="40"/>
        <v>Loss</v>
      </c>
      <c r="T227" s="7" t="str">
        <f t="shared" si="41"/>
        <v>Mar</v>
      </c>
      <c r="U227" s="7">
        <f t="shared" si="42"/>
        <v>2025</v>
      </c>
      <c r="V227" s="7" t="str">
        <f t="shared" si="43"/>
        <v>55-60</v>
      </c>
    </row>
    <row r="228" spans="1:22" x14ac:dyDescent="0.3">
      <c r="A228" s="7" t="s">
        <v>245</v>
      </c>
      <c r="B228" s="8" t="s">
        <v>1249</v>
      </c>
      <c r="C228" s="8">
        <v>26</v>
      </c>
      <c r="D228" s="8" t="s">
        <v>721</v>
      </c>
      <c r="E228" s="8" t="s">
        <v>723</v>
      </c>
      <c r="F228" s="7" t="s">
        <v>731</v>
      </c>
      <c r="G228" s="7" t="s">
        <v>879</v>
      </c>
      <c r="H228" s="7" t="s">
        <v>911</v>
      </c>
      <c r="I228" s="7" t="s">
        <v>844</v>
      </c>
      <c r="J228" s="7">
        <f t="shared" si="33"/>
        <v>7</v>
      </c>
      <c r="K228" s="9">
        <f t="shared" si="34"/>
        <v>70000</v>
      </c>
      <c r="L228" s="7">
        <v>4</v>
      </c>
      <c r="M228" s="9">
        <f t="shared" si="35"/>
        <v>280000</v>
      </c>
      <c r="N228" s="9">
        <f t="shared" si="36"/>
        <v>168000</v>
      </c>
      <c r="O228" s="7" t="s">
        <v>1006</v>
      </c>
      <c r="P228" s="10">
        <f t="shared" si="37"/>
        <v>7.0000000000000007E-2</v>
      </c>
      <c r="Q228" s="9">
        <f t="shared" si="38"/>
        <v>19600.000000000004</v>
      </c>
      <c r="R228" s="9">
        <f t="shared" si="39"/>
        <v>260400</v>
      </c>
      <c r="S228" s="9" t="str">
        <f t="shared" si="40"/>
        <v>Profit</v>
      </c>
      <c r="T228" s="7" t="str">
        <f t="shared" si="41"/>
        <v>May</v>
      </c>
      <c r="U228" s="7">
        <f t="shared" si="42"/>
        <v>2025</v>
      </c>
      <c r="V228" s="7" t="str">
        <f t="shared" si="43"/>
        <v>25-30</v>
      </c>
    </row>
    <row r="229" spans="1:22" x14ac:dyDescent="0.3">
      <c r="A229" s="7" t="s">
        <v>246</v>
      </c>
      <c r="B229" s="8" t="s">
        <v>1250</v>
      </c>
      <c r="C229" s="8">
        <v>58</v>
      </c>
      <c r="D229" s="8" t="s">
        <v>720</v>
      </c>
      <c r="E229" s="8" t="s">
        <v>723</v>
      </c>
      <c r="F229" s="7" t="s">
        <v>735</v>
      </c>
      <c r="G229" s="7" t="s">
        <v>847</v>
      </c>
      <c r="H229" s="7" t="s">
        <v>839</v>
      </c>
      <c r="I229" s="7" t="s">
        <v>893</v>
      </c>
      <c r="J229" s="7">
        <f t="shared" si="33"/>
        <v>7</v>
      </c>
      <c r="K229" s="9">
        <f t="shared" si="34"/>
        <v>70000</v>
      </c>
      <c r="L229" s="7">
        <v>3</v>
      </c>
      <c r="M229" s="9">
        <f t="shared" si="35"/>
        <v>210000</v>
      </c>
      <c r="N229" s="9">
        <f t="shared" si="36"/>
        <v>126000</v>
      </c>
      <c r="O229" s="7" t="s">
        <v>1006</v>
      </c>
      <c r="P229" s="10">
        <f t="shared" si="37"/>
        <v>7.0000000000000007E-2</v>
      </c>
      <c r="Q229" s="9">
        <f t="shared" si="38"/>
        <v>14700.000000000002</v>
      </c>
      <c r="R229" s="9">
        <f t="shared" si="39"/>
        <v>195300</v>
      </c>
      <c r="S229" s="9" t="str">
        <f t="shared" si="40"/>
        <v>Profit</v>
      </c>
      <c r="T229" s="7" t="str">
        <f t="shared" si="41"/>
        <v>Jul</v>
      </c>
      <c r="U229" s="7">
        <f t="shared" si="42"/>
        <v>2025</v>
      </c>
      <c r="V229" s="7" t="str">
        <f t="shared" si="43"/>
        <v>55-60</v>
      </c>
    </row>
    <row r="230" spans="1:22" x14ac:dyDescent="0.3">
      <c r="A230" s="7" t="s">
        <v>247</v>
      </c>
      <c r="B230" s="8" t="s">
        <v>1251</v>
      </c>
      <c r="C230" s="8">
        <v>28</v>
      </c>
      <c r="D230" s="8" t="s">
        <v>721</v>
      </c>
      <c r="E230" s="8" t="s">
        <v>724</v>
      </c>
      <c r="F230" s="7" t="s">
        <v>729</v>
      </c>
      <c r="G230" s="7" t="s">
        <v>872</v>
      </c>
      <c r="H230" s="7" t="s">
        <v>774</v>
      </c>
      <c r="I230" s="7" t="s">
        <v>919</v>
      </c>
      <c r="J230" s="7">
        <f t="shared" si="33"/>
        <v>10</v>
      </c>
      <c r="K230" s="9">
        <f t="shared" si="34"/>
        <v>120000</v>
      </c>
      <c r="L230" s="7">
        <v>3</v>
      </c>
      <c r="M230" s="9">
        <f t="shared" si="35"/>
        <v>360000</v>
      </c>
      <c r="N230" s="9">
        <f t="shared" si="36"/>
        <v>234000</v>
      </c>
      <c r="O230" s="7" t="s">
        <v>1006</v>
      </c>
      <c r="P230" s="10">
        <f t="shared" si="37"/>
        <v>0.15</v>
      </c>
      <c r="Q230" s="9">
        <f t="shared" si="38"/>
        <v>54000</v>
      </c>
      <c r="R230" s="9">
        <f t="shared" si="39"/>
        <v>306000</v>
      </c>
      <c r="S230" s="9" t="str">
        <f t="shared" si="40"/>
        <v>Profit</v>
      </c>
      <c r="T230" s="7" t="str">
        <f t="shared" si="41"/>
        <v>Jul</v>
      </c>
      <c r="U230" s="7">
        <f t="shared" si="42"/>
        <v>2025</v>
      </c>
      <c r="V230" s="7" t="str">
        <f t="shared" si="43"/>
        <v>25-30</v>
      </c>
    </row>
    <row r="231" spans="1:22" x14ac:dyDescent="0.3">
      <c r="A231" s="7" t="s">
        <v>248</v>
      </c>
      <c r="B231" s="8" t="s">
        <v>1252</v>
      </c>
      <c r="C231" s="8">
        <v>22</v>
      </c>
      <c r="D231" s="8" t="s">
        <v>721</v>
      </c>
      <c r="E231" s="8" t="s">
        <v>722</v>
      </c>
      <c r="F231" s="7" t="s">
        <v>728</v>
      </c>
      <c r="G231" s="7" t="s">
        <v>840</v>
      </c>
      <c r="H231" s="7" t="s">
        <v>978</v>
      </c>
      <c r="I231" s="7" t="s">
        <v>945</v>
      </c>
      <c r="J231" s="7">
        <f t="shared" si="33"/>
        <v>5</v>
      </c>
      <c r="K231" s="9">
        <f t="shared" si="34"/>
        <v>60000</v>
      </c>
      <c r="L231" s="7">
        <v>3</v>
      </c>
      <c r="M231" s="9">
        <f t="shared" si="35"/>
        <v>180000</v>
      </c>
      <c r="N231" s="9">
        <f t="shared" si="36"/>
        <v>117000</v>
      </c>
      <c r="O231" s="7" t="s">
        <v>1006</v>
      </c>
      <c r="P231" s="10">
        <f t="shared" si="37"/>
        <v>0.1</v>
      </c>
      <c r="Q231" s="9">
        <f t="shared" si="38"/>
        <v>18000</v>
      </c>
      <c r="R231" s="9">
        <f t="shared" si="39"/>
        <v>162000</v>
      </c>
      <c r="S231" s="9" t="str">
        <f t="shared" si="40"/>
        <v>Profit</v>
      </c>
      <c r="T231" s="7" t="str">
        <f t="shared" si="41"/>
        <v>May</v>
      </c>
      <c r="U231" s="7">
        <f t="shared" si="42"/>
        <v>2025</v>
      </c>
      <c r="V231" s="7" t="str">
        <f t="shared" si="43"/>
        <v>20-25</v>
      </c>
    </row>
    <row r="232" spans="1:22" x14ac:dyDescent="0.3">
      <c r="A232" s="7" t="s">
        <v>249</v>
      </c>
      <c r="B232" s="8" t="s">
        <v>1253</v>
      </c>
      <c r="C232" s="8">
        <v>23</v>
      </c>
      <c r="D232" s="8" t="s">
        <v>721</v>
      </c>
      <c r="E232" s="8" t="s">
        <v>724</v>
      </c>
      <c r="F232" s="7" t="s">
        <v>730</v>
      </c>
      <c r="G232" s="7" t="s">
        <v>876</v>
      </c>
      <c r="H232" s="7" t="s">
        <v>882</v>
      </c>
      <c r="I232" s="7" t="s">
        <v>871</v>
      </c>
      <c r="J232" s="7">
        <f t="shared" si="33"/>
        <v>10</v>
      </c>
      <c r="K232" s="9">
        <f t="shared" si="34"/>
        <v>120000</v>
      </c>
      <c r="L232" s="7">
        <v>3</v>
      </c>
      <c r="M232" s="9">
        <f t="shared" si="35"/>
        <v>360000</v>
      </c>
      <c r="N232" s="9">
        <f t="shared" si="36"/>
        <v>234000</v>
      </c>
      <c r="O232" s="7" t="s">
        <v>1007</v>
      </c>
      <c r="P232" s="10">
        <f t="shared" si="37"/>
        <v>0</v>
      </c>
      <c r="Q232" s="9">
        <f t="shared" si="38"/>
        <v>0</v>
      </c>
      <c r="R232" s="9">
        <f t="shared" si="39"/>
        <v>5000</v>
      </c>
      <c r="S232" s="9" t="str">
        <f t="shared" si="40"/>
        <v>Loss</v>
      </c>
      <c r="T232" s="7" t="str">
        <f t="shared" si="41"/>
        <v>Jan</v>
      </c>
      <c r="U232" s="7">
        <f t="shared" si="42"/>
        <v>2025</v>
      </c>
      <c r="V232" s="7" t="str">
        <f t="shared" si="43"/>
        <v>20-25</v>
      </c>
    </row>
    <row r="233" spans="1:22" x14ac:dyDescent="0.3">
      <c r="A233" s="7" t="s">
        <v>250</v>
      </c>
      <c r="B233" s="8" t="s">
        <v>1254</v>
      </c>
      <c r="C233" s="8">
        <v>32</v>
      </c>
      <c r="D233" s="8" t="s">
        <v>720</v>
      </c>
      <c r="E233" s="8" t="s">
        <v>725</v>
      </c>
      <c r="F233" s="7" t="s">
        <v>1730</v>
      </c>
      <c r="G233" s="7" t="s">
        <v>759</v>
      </c>
      <c r="H233" s="7" t="s">
        <v>838</v>
      </c>
      <c r="I233" s="7" t="s">
        <v>900</v>
      </c>
      <c r="J233" s="7">
        <f t="shared" si="33"/>
        <v>8</v>
      </c>
      <c r="K233" s="9">
        <f t="shared" si="34"/>
        <v>80000</v>
      </c>
      <c r="L233" s="7">
        <v>2</v>
      </c>
      <c r="M233" s="9">
        <f t="shared" si="35"/>
        <v>160000</v>
      </c>
      <c r="N233" s="9">
        <f t="shared" si="36"/>
        <v>96000</v>
      </c>
      <c r="O233" s="7" t="s">
        <v>1007</v>
      </c>
      <c r="P233" s="10">
        <f t="shared" si="37"/>
        <v>0</v>
      </c>
      <c r="Q233" s="9">
        <f t="shared" si="38"/>
        <v>0</v>
      </c>
      <c r="R233" s="9">
        <f t="shared" si="39"/>
        <v>5000</v>
      </c>
      <c r="S233" s="9" t="str">
        <f t="shared" si="40"/>
        <v>Loss</v>
      </c>
      <c r="T233" s="7" t="str">
        <f t="shared" si="41"/>
        <v>Jul</v>
      </c>
      <c r="U233" s="7">
        <f t="shared" si="42"/>
        <v>2025</v>
      </c>
      <c r="V233" s="7" t="str">
        <f t="shared" si="43"/>
        <v>30-35</v>
      </c>
    </row>
    <row r="234" spans="1:22" x14ac:dyDescent="0.3">
      <c r="A234" s="7" t="s">
        <v>251</v>
      </c>
      <c r="B234" s="8" t="s">
        <v>1255</v>
      </c>
      <c r="C234" s="8">
        <v>39</v>
      </c>
      <c r="D234" s="8" t="s">
        <v>720</v>
      </c>
      <c r="E234" s="8" t="s">
        <v>722</v>
      </c>
      <c r="F234" s="7" t="s">
        <v>729</v>
      </c>
      <c r="G234" s="7" t="s">
        <v>768</v>
      </c>
      <c r="H234" s="7" t="s">
        <v>840</v>
      </c>
      <c r="I234" s="7" t="s">
        <v>883</v>
      </c>
      <c r="J234" s="7">
        <f t="shared" si="33"/>
        <v>5</v>
      </c>
      <c r="K234" s="9">
        <f t="shared" si="34"/>
        <v>60000</v>
      </c>
      <c r="L234" s="7">
        <v>3</v>
      </c>
      <c r="M234" s="9">
        <f t="shared" si="35"/>
        <v>180000</v>
      </c>
      <c r="N234" s="9">
        <f t="shared" si="36"/>
        <v>117000</v>
      </c>
      <c r="O234" s="7" t="s">
        <v>1007</v>
      </c>
      <c r="P234" s="10">
        <f t="shared" si="37"/>
        <v>0</v>
      </c>
      <c r="Q234" s="9">
        <f t="shared" si="38"/>
        <v>0</v>
      </c>
      <c r="R234" s="9">
        <f t="shared" si="39"/>
        <v>5000</v>
      </c>
      <c r="S234" s="9" t="str">
        <f t="shared" si="40"/>
        <v>Loss</v>
      </c>
      <c r="T234" s="7" t="str">
        <f t="shared" si="41"/>
        <v>Apr</v>
      </c>
      <c r="U234" s="7">
        <f t="shared" si="42"/>
        <v>2025</v>
      </c>
      <c r="V234" s="7" t="str">
        <f t="shared" si="43"/>
        <v>35-40</v>
      </c>
    </row>
    <row r="235" spans="1:22" x14ac:dyDescent="0.3">
      <c r="A235" s="7" t="s">
        <v>252</v>
      </c>
      <c r="B235" s="8" t="s">
        <v>1256</v>
      </c>
      <c r="C235" s="8">
        <v>37</v>
      </c>
      <c r="D235" s="8" t="s">
        <v>720</v>
      </c>
      <c r="E235" s="8" t="s">
        <v>726</v>
      </c>
      <c r="F235" s="7" t="s">
        <v>1731</v>
      </c>
      <c r="G235" s="7" t="s">
        <v>803</v>
      </c>
      <c r="H235" s="7" t="s">
        <v>921</v>
      </c>
      <c r="I235" s="7" t="s">
        <v>852</v>
      </c>
      <c r="J235" s="7">
        <f t="shared" si="33"/>
        <v>4</v>
      </c>
      <c r="K235" s="9">
        <f t="shared" si="34"/>
        <v>18000</v>
      </c>
      <c r="L235" s="7">
        <v>3</v>
      </c>
      <c r="M235" s="9">
        <f t="shared" si="35"/>
        <v>54000</v>
      </c>
      <c r="N235" s="9">
        <f t="shared" si="36"/>
        <v>27000</v>
      </c>
      <c r="O235" s="7" t="s">
        <v>1007</v>
      </c>
      <c r="P235" s="10">
        <f t="shared" si="37"/>
        <v>0</v>
      </c>
      <c r="Q235" s="9">
        <f t="shared" si="38"/>
        <v>0</v>
      </c>
      <c r="R235" s="9">
        <f t="shared" si="39"/>
        <v>5000</v>
      </c>
      <c r="S235" s="9" t="str">
        <f t="shared" si="40"/>
        <v>Loss</v>
      </c>
      <c r="T235" s="7" t="str">
        <f t="shared" si="41"/>
        <v>Mar</v>
      </c>
      <c r="U235" s="7">
        <f t="shared" si="42"/>
        <v>2025</v>
      </c>
      <c r="V235" s="7" t="str">
        <f t="shared" si="43"/>
        <v>35-40</v>
      </c>
    </row>
    <row r="236" spans="1:22" x14ac:dyDescent="0.3">
      <c r="A236" s="7" t="s">
        <v>253</v>
      </c>
      <c r="B236" s="8" t="s">
        <v>1257</v>
      </c>
      <c r="C236" s="8">
        <v>52</v>
      </c>
      <c r="D236" s="8" t="s">
        <v>720</v>
      </c>
      <c r="E236" s="8" t="s">
        <v>724</v>
      </c>
      <c r="F236" s="7" t="s">
        <v>734</v>
      </c>
      <c r="G236" s="7" t="s">
        <v>762</v>
      </c>
      <c r="H236" s="7" t="s">
        <v>961</v>
      </c>
      <c r="I236" s="7" t="s">
        <v>741</v>
      </c>
      <c r="J236" s="7">
        <f t="shared" si="33"/>
        <v>10</v>
      </c>
      <c r="K236" s="9">
        <f t="shared" si="34"/>
        <v>120000</v>
      </c>
      <c r="L236" s="7">
        <v>2</v>
      </c>
      <c r="M236" s="9">
        <f t="shared" si="35"/>
        <v>240000</v>
      </c>
      <c r="N236" s="9">
        <f t="shared" si="36"/>
        <v>156000</v>
      </c>
      <c r="O236" s="7" t="s">
        <v>1006</v>
      </c>
      <c r="P236" s="10">
        <f t="shared" si="37"/>
        <v>0.15</v>
      </c>
      <c r="Q236" s="9">
        <f t="shared" si="38"/>
        <v>36000</v>
      </c>
      <c r="R236" s="9">
        <f t="shared" si="39"/>
        <v>204000</v>
      </c>
      <c r="S236" s="9" t="str">
        <f t="shared" si="40"/>
        <v>Profit</v>
      </c>
      <c r="T236" s="7" t="str">
        <f t="shared" si="41"/>
        <v>Mar</v>
      </c>
      <c r="U236" s="7">
        <f t="shared" si="42"/>
        <v>2025</v>
      </c>
      <c r="V236" s="7" t="str">
        <f t="shared" si="43"/>
        <v>50-55</v>
      </c>
    </row>
    <row r="237" spans="1:22" x14ac:dyDescent="0.3">
      <c r="A237" s="7" t="s">
        <v>254</v>
      </c>
      <c r="B237" s="8" t="s">
        <v>1258</v>
      </c>
      <c r="C237" s="8">
        <v>19</v>
      </c>
      <c r="D237" s="8" t="s">
        <v>721</v>
      </c>
      <c r="E237" s="8" t="s">
        <v>726</v>
      </c>
      <c r="F237" s="7" t="s">
        <v>728</v>
      </c>
      <c r="G237" s="7" t="s">
        <v>747</v>
      </c>
      <c r="H237" s="7" t="s">
        <v>739</v>
      </c>
      <c r="I237" s="7" t="s">
        <v>786</v>
      </c>
      <c r="J237" s="7">
        <f t="shared" si="33"/>
        <v>4</v>
      </c>
      <c r="K237" s="9">
        <f t="shared" si="34"/>
        <v>18000</v>
      </c>
      <c r="L237" s="7">
        <v>1</v>
      </c>
      <c r="M237" s="9">
        <f t="shared" si="35"/>
        <v>18000</v>
      </c>
      <c r="N237" s="9">
        <f t="shared" si="36"/>
        <v>9000</v>
      </c>
      <c r="O237" s="7" t="s">
        <v>1007</v>
      </c>
      <c r="P237" s="10">
        <f t="shared" si="37"/>
        <v>0</v>
      </c>
      <c r="Q237" s="9">
        <f t="shared" si="38"/>
        <v>0</v>
      </c>
      <c r="R237" s="9">
        <f t="shared" si="39"/>
        <v>5000</v>
      </c>
      <c r="S237" s="9" t="str">
        <f t="shared" si="40"/>
        <v>Loss</v>
      </c>
      <c r="T237" s="7" t="str">
        <f t="shared" si="41"/>
        <v>Jun</v>
      </c>
      <c r="U237" s="7">
        <f t="shared" si="42"/>
        <v>2025</v>
      </c>
      <c r="V237" s="7" t="str">
        <f t="shared" si="43"/>
        <v>15-20</v>
      </c>
    </row>
    <row r="238" spans="1:22" x14ac:dyDescent="0.3">
      <c r="A238" s="7" t="s">
        <v>255</v>
      </c>
      <c r="B238" s="8" t="s">
        <v>1259</v>
      </c>
      <c r="C238" s="8">
        <v>43</v>
      </c>
      <c r="D238" s="8" t="s">
        <v>720</v>
      </c>
      <c r="E238" s="8" t="s">
        <v>723</v>
      </c>
      <c r="F238" s="7" t="s">
        <v>730</v>
      </c>
      <c r="G238" s="7" t="s">
        <v>863</v>
      </c>
      <c r="H238" s="7" t="s">
        <v>946</v>
      </c>
      <c r="I238" s="7" t="s">
        <v>760</v>
      </c>
      <c r="J238" s="7">
        <f t="shared" si="33"/>
        <v>7</v>
      </c>
      <c r="K238" s="9">
        <f t="shared" si="34"/>
        <v>70000</v>
      </c>
      <c r="L238" s="7">
        <v>1</v>
      </c>
      <c r="M238" s="9">
        <f t="shared" si="35"/>
        <v>70000</v>
      </c>
      <c r="N238" s="9">
        <f t="shared" si="36"/>
        <v>42000</v>
      </c>
      <c r="O238" s="7" t="s">
        <v>1007</v>
      </c>
      <c r="P238" s="10">
        <f t="shared" si="37"/>
        <v>0</v>
      </c>
      <c r="Q238" s="9">
        <f t="shared" si="38"/>
        <v>0</v>
      </c>
      <c r="R238" s="9">
        <f t="shared" si="39"/>
        <v>5000</v>
      </c>
      <c r="S238" s="9" t="str">
        <f t="shared" si="40"/>
        <v>Loss</v>
      </c>
      <c r="T238" s="7" t="str">
        <f t="shared" si="41"/>
        <v>Feb</v>
      </c>
      <c r="U238" s="7">
        <f t="shared" si="42"/>
        <v>2025</v>
      </c>
      <c r="V238" s="7" t="str">
        <f t="shared" si="43"/>
        <v>40-45</v>
      </c>
    </row>
    <row r="239" spans="1:22" x14ac:dyDescent="0.3">
      <c r="A239" s="7" t="s">
        <v>256</v>
      </c>
      <c r="B239" s="8" t="s">
        <v>1260</v>
      </c>
      <c r="C239" s="8">
        <v>19</v>
      </c>
      <c r="D239" s="8" t="s">
        <v>721</v>
      </c>
      <c r="E239" s="8" t="s">
        <v>724</v>
      </c>
      <c r="F239" s="7" t="s">
        <v>735</v>
      </c>
      <c r="G239" s="7" t="s">
        <v>752</v>
      </c>
      <c r="H239" s="7" t="s">
        <v>750</v>
      </c>
      <c r="I239" s="7" t="s">
        <v>765</v>
      </c>
      <c r="J239" s="7">
        <f t="shared" si="33"/>
        <v>10</v>
      </c>
      <c r="K239" s="9">
        <f t="shared" si="34"/>
        <v>120000</v>
      </c>
      <c r="L239" s="7">
        <v>3</v>
      </c>
      <c r="M239" s="9">
        <f t="shared" si="35"/>
        <v>360000</v>
      </c>
      <c r="N239" s="9">
        <f t="shared" si="36"/>
        <v>234000</v>
      </c>
      <c r="O239" s="7" t="s">
        <v>1007</v>
      </c>
      <c r="P239" s="10">
        <f t="shared" si="37"/>
        <v>0</v>
      </c>
      <c r="Q239" s="9">
        <f t="shared" si="38"/>
        <v>0</v>
      </c>
      <c r="R239" s="9">
        <f t="shared" si="39"/>
        <v>5000</v>
      </c>
      <c r="S239" s="9" t="str">
        <f t="shared" si="40"/>
        <v>Loss</v>
      </c>
      <c r="T239" s="7" t="str">
        <f t="shared" si="41"/>
        <v>May</v>
      </c>
      <c r="U239" s="7">
        <f t="shared" si="42"/>
        <v>2025</v>
      </c>
      <c r="V239" s="7" t="str">
        <f t="shared" si="43"/>
        <v>15-20</v>
      </c>
    </row>
    <row r="240" spans="1:22" x14ac:dyDescent="0.3">
      <c r="A240" s="7" t="s">
        <v>257</v>
      </c>
      <c r="B240" s="8" t="s">
        <v>1261</v>
      </c>
      <c r="C240" s="8">
        <v>30</v>
      </c>
      <c r="D240" s="8" t="s">
        <v>720</v>
      </c>
      <c r="E240" s="8" t="s">
        <v>724</v>
      </c>
      <c r="F240" s="7" t="s">
        <v>1735</v>
      </c>
      <c r="G240" s="7" t="s">
        <v>880</v>
      </c>
      <c r="H240" s="7" t="s">
        <v>788</v>
      </c>
      <c r="I240" s="7" t="s">
        <v>851</v>
      </c>
      <c r="J240" s="7">
        <f t="shared" si="33"/>
        <v>10</v>
      </c>
      <c r="K240" s="9">
        <f t="shared" si="34"/>
        <v>120000</v>
      </c>
      <c r="L240" s="7">
        <v>3</v>
      </c>
      <c r="M240" s="9">
        <f t="shared" si="35"/>
        <v>360000</v>
      </c>
      <c r="N240" s="9">
        <f t="shared" si="36"/>
        <v>234000</v>
      </c>
      <c r="O240" s="7" t="s">
        <v>1006</v>
      </c>
      <c r="P240" s="10">
        <f t="shared" si="37"/>
        <v>0.15</v>
      </c>
      <c r="Q240" s="9">
        <f t="shared" si="38"/>
        <v>54000</v>
      </c>
      <c r="R240" s="9">
        <f t="shared" si="39"/>
        <v>306000</v>
      </c>
      <c r="S240" s="9" t="str">
        <f t="shared" si="40"/>
        <v>Profit</v>
      </c>
      <c r="T240" s="7" t="str">
        <f t="shared" si="41"/>
        <v>Jan</v>
      </c>
      <c r="U240" s="7">
        <f t="shared" si="42"/>
        <v>2025</v>
      </c>
      <c r="V240" s="7" t="str">
        <f t="shared" si="43"/>
        <v>30-35</v>
      </c>
    </row>
    <row r="241" spans="1:22" x14ac:dyDescent="0.3">
      <c r="A241" s="7" t="s">
        <v>258</v>
      </c>
      <c r="B241" s="8" t="s">
        <v>1262</v>
      </c>
      <c r="C241" s="8">
        <v>19</v>
      </c>
      <c r="D241" s="8" t="s">
        <v>721</v>
      </c>
      <c r="E241" s="8" t="s">
        <v>723</v>
      </c>
      <c r="F241" s="7" t="s">
        <v>729</v>
      </c>
      <c r="G241" s="7" t="s">
        <v>834</v>
      </c>
      <c r="H241" s="7" t="s">
        <v>764</v>
      </c>
      <c r="I241" s="7" t="s">
        <v>959</v>
      </c>
      <c r="J241" s="7">
        <f t="shared" si="33"/>
        <v>7</v>
      </c>
      <c r="K241" s="9">
        <f t="shared" si="34"/>
        <v>70000</v>
      </c>
      <c r="L241" s="7">
        <v>4</v>
      </c>
      <c r="M241" s="9">
        <f t="shared" si="35"/>
        <v>280000</v>
      </c>
      <c r="N241" s="9">
        <f t="shared" si="36"/>
        <v>168000</v>
      </c>
      <c r="O241" s="7" t="s">
        <v>1006</v>
      </c>
      <c r="P241" s="10">
        <f t="shared" si="37"/>
        <v>7.0000000000000007E-2</v>
      </c>
      <c r="Q241" s="9">
        <f t="shared" si="38"/>
        <v>19600.000000000004</v>
      </c>
      <c r="R241" s="9">
        <f t="shared" si="39"/>
        <v>260400</v>
      </c>
      <c r="S241" s="9" t="str">
        <f t="shared" si="40"/>
        <v>Profit</v>
      </c>
      <c r="T241" s="7" t="str">
        <f t="shared" si="41"/>
        <v>Jun</v>
      </c>
      <c r="U241" s="7">
        <f t="shared" si="42"/>
        <v>2025</v>
      </c>
      <c r="V241" s="7" t="str">
        <f t="shared" si="43"/>
        <v>15-20</v>
      </c>
    </row>
    <row r="242" spans="1:22" x14ac:dyDescent="0.3">
      <c r="A242" s="7" t="s">
        <v>259</v>
      </c>
      <c r="B242" s="8" t="s">
        <v>1263</v>
      </c>
      <c r="C242" s="8">
        <v>30</v>
      </c>
      <c r="D242" s="8" t="s">
        <v>721</v>
      </c>
      <c r="E242" s="8" t="s">
        <v>725</v>
      </c>
      <c r="F242" s="7" t="s">
        <v>734</v>
      </c>
      <c r="G242" s="7" t="s">
        <v>863</v>
      </c>
      <c r="H242" s="7" t="s">
        <v>762</v>
      </c>
      <c r="I242" s="7" t="s">
        <v>894</v>
      </c>
      <c r="J242" s="7">
        <f t="shared" si="33"/>
        <v>8</v>
      </c>
      <c r="K242" s="9">
        <f t="shared" si="34"/>
        <v>80000</v>
      </c>
      <c r="L242" s="7">
        <v>2</v>
      </c>
      <c r="M242" s="9">
        <f t="shared" si="35"/>
        <v>160000</v>
      </c>
      <c r="N242" s="9">
        <f t="shared" si="36"/>
        <v>96000</v>
      </c>
      <c r="O242" s="7" t="s">
        <v>1006</v>
      </c>
      <c r="P242" s="10">
        <f t="shared" si="37"/>
        <v>0.12</v>
      </c>
      <c r="Q242" s="9">
        <f t="shared" si="38"/>
        <v>19200</v>
      </c>
      <c r="R242" s="9">
        <f t="shared" si="39"/>
        <v>140800</v>
      </c>
      <c r="S242" s="9" t="str">
        <f t="shared" si="40"/>
        <v>Profit</v>
      </c>
      <c r="T242" s="7" t="str">
        <f t="shared" si="41"/>
        <v>Feb</v>
      </c>
      <c r="U242" s="7">
        <f t="shared" si="42"/>
        <v>2025</v>
      </c>
      <c r="V242" s="7" t="str">
        <f t="shared" si="43"/>
        <v>30-35</v>
      </c>
    </row>
    <row r="243" spans="1:22" x14ac:dyDescent="0.3">
      <c r="A243" s="7" t="s">
        <v>260</v>
      </c>
      <c r="B243" s="8" t="s">
        <v>1264</v>
      </c>
      <c r="C243" s="8">
        <v>50</v>
      </c>
      <c r="D243" s="8" t="s">
        <v>720</v>
      </c>
      <c r="E243" s="8" t="s">
        <v>723</v>
      </c>
      <c r="F243" s="7" t="s">
        <v>729</v>
      </c>
      <c r="G243" s="7" t="s">
        <v>881</v>
      </c>
      <c r="H243" s="7" t="s">
        <v>866</v>
      </c>
      <c r="I243" s="7" t="s">
        <v>980</v>
      </c>
      <c r="J243" s="7">
        <f t="shared" si="33"/>
        <v>7</v>
      </c>
      <c r="K243" s="9">
        <f t="shared" si="34"/>
        <v>70000</v>
      </c>
      <c r="L243" s="7">
        <v>3</v>
      </c>
      <c r="M243" s="9">
        <f t="shared" si="35"/>
        <v>210000</v>
      </c>
      <c r="N243" s="9">
        <f t="shared" si="36"/>
        <v>126000</v>
      </c>
      <c r="O243" s="7" t="s">
        <v>1007</v>
      </c>
      <c r="P243" s="10">
        <f t="shared" si="37"/>
        <v>0</v>
      </c>
      <c r="Q243" s="9">
        <f t="shared" si="38"/>
        <v>0</v>
      </c>
      <c r="R243" s="9">
        <f t="shared" si="39"/>
        <v>5000</v>
      </c>
      <c r="S243" s="9" t="str">
        <f t="shared" si="40"/>
        <v>Loss</v>
      </c>
      <c r="T243" s="7" t="str">
        <f t="shared" si="41"/>
        <v>Jul</v>
      </c>
      <c r="U243" s="7">
        <f t="shared" si="42"/>
        <v>2025</v>
      </c>
      <c r="V243" s="7" t="str">
        <f t="shared" si="43"/>
        <v>50-55</v>
      </c>
    </row>
    <row r="244" spans="1:22" x14ac:dyDescent="0.3">
      <c r="A244" s="7" t="s">
        <v>261</v>
      </c>
      <c r="B244" s="8" t="s">
        <v>1265</v>
      </c>
      <c r="C244" s="8">
        <v>18</v>
      </c>
      <c r="D244" s="8" t="s">
        <v>720</v>
      </c>
      <c r="E244" s="8" t="s">
        <v>726</v>
      </c>
      <c r="F244" s="7" t="s">
        <v>732</v>
      </c>
      <c r="G244" s="7" t="s">
        <v>882</v>
      </c>
      <c r="H244" s="7" t="s">
        <v>946</v>
      </c>
      <c r="I244" s="7" t="s">
        <v>921</v>
      </c>
      <c r="J244" s="7">
        <f t="shared" si="33"/>
        <v>4</v>
      </c>
      <c r="K244" s="9">
        <f t="shared" si="34"/>
        <v>18000</v>
      </c>
      <c r="L244" s="7">
        <v>4</v>
      </c>
      <c r="M244" s="9">
        <f t="shared" si="35"/>
        <v>72000</v>
      </c>
      <c r="N244" s="9">
        <f t="shared" si="36"/>
        <v>36000</v>
      </c>
      <c r="O244" s="7" t="s">
        <v>1006</v>
      </c>
      <c r="P244" s="10">
        <f t="shared" si="37"/>
        <v>0.05</v>
      </c>
      <c r="Q244" s="9">
        <f t="shared" si="38"/>
        <v>3600</v>
      </c>
      <c r="R244" s="9">
        <f t="shared" si="39"/>
        <v>68400</v>
      </c>
      <c r="S244" s="9" t="str">
        <f t="shared" si="40"/>
        <v>Profit</v>
      </c>
      <c r="T244" s="7" t="str">
        <f t="shared" si="41"/>
        <v>Feb</v>
      </c>
      <c r="U244" s="7">
        <f t="shared" si="42"/>
        <v>2025</v>
      </c>
      <c r="V244" s="7" t="str">
        <f t="shared" si="43"/>
        <v>15-20</v>
      </c>
    </row>
    <row r="245" spans="1:22" x14ac:dyDescent="0.3">
      <c r="A245" s="7" t="s">
        <v>262</v>
      </c>
      <c r="B245" s="8" t="s">
        <v>1266</v>
      </c>
      <c r="C245" s="8">
        <v>52</v>
      </c>
      <c r="D245" s="8" t="s">
        <v>720</v>
      </c>
      <c r="E245" s="8" t="s">
        <v>726</v>
      </c>
      <c r="F245" s="7" t="s">
        <v>1731</v>
      </c>
      <c r="G245" s="7" t="s">
        <v>883</v>
      </c>
      <c r="H245" s="7" t="s">
        <v>962</v>
      </c>
      <c r="I245" s="7" t="s">
        <v>964</v>
      </c>
      <c r="J245" s="7">
        <f t="shared" si="33"/>
        <v>4</v>
      </c>
      <c r="K245" s="9">
        <f t="shared" si="34"/>
        <v>18000</v>
      </c>
      <c r="L245" s="7">
        <v>3</v>
      </c>
      <c r="M245" s="9">
        <f t="shared" si="35"/>
        <v>54000</v>
      </c>
      <c r="N245" s="9">
        <f t="shared" si="36"/>
        <v>27000</v>
      </c>
      <c r="O245" s="7" t="s">
        <v>1007</v>
      </c>
      <c r="P245" s="10">
        <f t="shared" si="37"/>
        <v>0</v>
      </c>
      <c r="Q245" s="9">
        <f t="shared" si="38"/>
        <v>0</v>
      </c>
      <c r="R245" s="9">
        <f t="shared" si="39"/>
        <v>5000</v>
      </c>
      <c r="S245" s="9" t="str">
        <f t="shared" si="40"/>
        <v>Loss</v>
      </c>
      <c r="T245" s="7" t="str">
        <f t="shared" si="41"/>
        <v>May</v>
      </c>
      <c r="U245" s="7">
        <f t="shared" si="42"/>
        <v>2025</v>
      </c>
      <c r="V245" s="7" t="str">
        <f t="shared" si="43"/>
        <v>50-55</v>
      </c>
    </row>
    <row r="246" spans="1:22" x14ac:dyDescent="0.3">
      <c r="A246" s="7" t="s">
        <v>263</v>
      </c>
      <c r="B246" s="8" t="s">
        <v>1267</v>
      </c>
      <c r="C246" s="8">
        <v>25</v>
      </c>
      <c r="D246" s="8" t="s">
        <v>720</v>
      </c>
      <c r="E246" s="8" t="s">
        <v>724</v>
      </c>
      <c r="F246" s="7" t="s">
        <v>733</v>
      </c>
      <c r="G246" s="7" t="s">
        <v>775</v>
      </c>
      <c r="H246" s="7" t="s">
        <v>979</v>
      </c>
      <c r="I246" s="7" t="s">
        <v>747</v>
      </c>
      <c r="J246" s="7">
        <f t="shared" si="33"/>
        <v>10</v>
      </c>
      <c r="K246" s="9">
        <f t="shared" si="34"/>
        <v>120000</v>
      </c>
      <c r="L246" s="7">
        <v>1</v>
      </c>
      <c r="M246" s="9">
        <f t="shared" si="35"/>
        <v>120000</v>
      </c>
      <c r="N246" s="9">
        <f t="shared" si="36"/>
        <v>78000</v>
      </c>
      <c r="O246" s="7" t="s">
        <v>1006</v>
      </c>
      <c r="P246" s="10">
        <f t="shared" si="37"/>
        <v>0.15</v>
      </c>
      <c r="Q246" s="9">
        <f t="shared" si="38"/>
        <v>18000</v>
      </c>
      <c r="R246" s="9">
        <f t="shared" si="39"/>
        <v>102000</v>
      </c>
      <c r="S246" s="9" t="str">
        <f t="shared" si="40"/>
        <v>Profit</v>
      </c>
      <c r="T246" s="7" t="str">
        <f t="shared" si="41"/>
        <v>May</v>
      </c>
      <c r="U246" s="7">
        <f t="shared" si="42"/>
        <v>2025</v>
      </c>
      <c r="V246" s="7" t="str">
        <f t="shared" si="43"/>
        <v>25-30</v>
      </c>
    </row>
    <row r="247" spans="1:22" x14ac:dyDescent="0.3">
      <c r="A247" s="7" t="s">
        <v>264</v>
      </c>
      <c r="B247" s="8" t="s">
        <v>1268</v>
      </c>
      <c r="C247" s="8">
        <v>32</v>
      </c>
      <c r="D247" s="8" t="s">
        <v>721</v>
      </c>
      <c r="E247" s="8" t="s">
        <v>722</v>
      </c>
      <c r="F247" s="7" t="s">
        <v>731</v>
      </c>
      <c r="G247" s="7" t="s">
        <v>861</v>
      </c>
      <c r="H247" s="7" t="s">
        <v>957</v>
      </c>
      <c r="I247" s="7" t="s">
        <v>856</v>
      </c>
      <c r="J247" s="7">
        <f t="shared" si="33"/>
        <v>5</v>
      </c>
      <c r="K247" s="9">
        <f t="shared" si="34"/>
        <v>60000</v>
      </c>
      <c r="L247" s="7">
        <v>1</v>
      </c>
      <c r="M247" s="9">
        <f t="shared" si="35"/>
        <v>60000</v>
      </c>
      <c r="N247" s="9">
        <f t="shared" si="36"/>
        <v>39000</v>
      </c>
      <c r="O247" s="7" t="s">
        <v>1007</v>
      </c>
      <c r="P247" s="10">
        <f t="shared" si="37"/>
        <v>0</v>
      </c>
      <c r="Q247" s="9">
        <f t="shared" si="38"/>
        <v>0</v>
      </c>
      <c r="R247" s="9">
        <f t="shared" si="39"/>
        <v>5000</v>
      </c>
      <c r="S247" s="9" t="str">
        <f t="shared" si="40"/>
        <v>Loss</v>
      </c>
      <c r="T247" s="7" t="str">
        <f t="shared" si="41"/>
        <v>Feb</v>
      </c>
      <c r="U247" s="7">
        <f t="shared" si="42"/>
        <v>2025</v>
      </c>
      <c r="V247" s="7" t="str">
        <f t="shared" si="43"/>
        <v>30-35</v>
      </c>
    </row>
    <row r="248" spans="1:22" x14ac:dyDescent="0.3">
      <c r="A248" s="7" t="s">
        <v>265</v>
      </c>
      <c r="B248" s="8" t="s">
        <v>1269</v>
      </c>
      <c r="C248" s="8">
        <v>26</v>
      </c>
      <c r="D248" s="8" t="s">
        <v>721</v>
      </c>
      <c r="E248" s="8" t="s">
        <v>725</v>
      </c>
      <c r="F248" s="7" t="s">
        <v>735</v>
      </c>
      <c r="G248" s="7" t="s">
        <v>884</v>
      </c>
      <c r="H248" s="7" t="s">
        <v>858</v>
      </c>
      <c r="I248" s="7" t="s">
        <v>789</v>
      </c>
      <c r="J248" s="7">
        <f t="shared" si="33"/>
        <v>8</v>
      </c>
      <c r="K248" s="9">
        <f t="shared" si="34"/>
        <v>80000</v>
      </c>
      <c r="L248" s="7">
        <v>2</v>
      </c>
      <c r="M248" s="9">
        <f t="shared" si="35"/>
        <v>160000</v>
      </c>
      <c r="N248" s="9">
        <f t="shared" si="36"/>
        <v>96000</v>
      </c>
      <c r="O248" s="7" t="s">
        <v>1007</v>
      </c>
      <c r="P248" s="10">
        <f t="shared" si="37"/>
        <v>0</v>
      </c>
      <c r="Q248" s="9">
        <f t="shared" si="38"/>
        <v>0</v>
      </c>
      <c r="R248" s="9">
        <f t="shared" si="39"/>
        <v>5000</v>
      </c>
      <c r="S248" s="9" t="str">
        <f t="shared" si="40"/>
        <v>Loss</v>
      </c>
      <c r="T248" s="7" t="str">
        <f t="shared" si="41"/>
        <v>Apr</v>
      </c>
      <c r="U248" s="7">
        <f t="shared" si="42"/>
        <v>2025</v>
      </c>
      <c r="V248" s="7" t="str">
        <f t="shared" si="43"/>
        <v>25-30</v>
      </c>
    </row>
    <row r="249" spans="1:22" x14ac:dyDescent="0.3">
      <c r="A249" s="7" t="s">
        <v>266</v>
      </c>
      <c r="B249" s="8" t="s">
        <v>1270</v>
      </c>
      <c r="C249" s="8">
        <v>29</v>
      </c>
      <c r="D249" s="8" t="s">
        <v>720</v>
      </c>
      <c r="E249" s="8" t="s">
        <v>722</v>
      </c>
      <c r="F249" s="7" t="s">
        <v>734</v>
      </c>
      <c r="G249" s="7" t="s">
        <v>808</v>
      </c>
      <c r="H249" s="7" t="s">
        <v>788</v>
      </c>
      <c r="I249" s="7" t="s">
        <v>806</v>
      </c>
      <c r="J249" s="7">
        <f t="shared" si="33"/>
        <v>5</v>
      </c>
      <c r="K249" s="9">
        <f t="shared" si="34"/>
        <v>60000</v>
      </c>
      <c r="L249" s="7">
        <v>3</v>
      </c>
      <c r="M249" s="9">
        <f t="shared" si="35"/>
        <v>180000</v>
      </c>
      <c r="N249" s="9">
        <f t="shared" si="36"/>
        <v>117000</v>
      </c>
      <c r="O249" s="7" t="s">
        <v>1007</v>
      </c>
      <c r="P249" s="10">
        <f t="shared" si="37"/>
        <v>0</v>
      </c>
      <c r="Q249" s="9">
        <f t="shared" si="38"/>
        <v>0</v>
      </c>
      <c r="R249" s="9">
        <f t="shared" si="39"/>
        <v>5000</v>
      </c>
      <c r="S249" s="9" t="str">
        <f t="shared" si="40"/>
        <v>Loss</v>
      </c>
      <c r="T249" s="7" t="str">
        <f t="shared" si="41"/>
        <v>Jan</v>
      </c>
      <c r="U249" s="7">
        <f t="shared" si="42"/>
        <v>2025</v>
      </c>
      <c r="V249" s="7" t="str">
        <f t="shared" si="43"/>
        <v>25-30</v>
      </c>
    </row>
    <row r="250" spans="1:22" x14ac:dyDescent="0.3">
      <c r="A250" s="7" t="s">
        <v>267</v>
      </c>
      <c r="B250" s="8" t="s">
        <v>1271</v>
      </c>
      <c r="C250" s="8">
        <v>28</v>
      </c>
      <c r="D250" s="8" t="s">
        <v>720</v>
      </c>
      <c r="E250" s="8" t="s">
        <v>725</v>
      </c>
      <c r="F250" s="7" t="s">
        <v>735</v>
      </c>
      <c r="G250" s="7" t="s">
        <v>772</v>
      </c>
      <c r="H250" s="7" t="s">
        <v>980</v>
      </c>
      <c r="I250" s="7" t="s">
        <v>997</v>
      </c>
      <c r="J250" s="7">
        <f t="shared" si="33"/>
        <v>8</v>
      </c>
      <c r="K250" s="9">
        <f t="shared" si="34"/>
        <v>80000</v>
      </c>
      <c r="L250" s="7">
        <v>2</v>
      </c>
      <c r="M250" s="9">
        <f t="shared" si="35"/>
        <v>160000</v>
      </c>
      <c r="N250" s="9">
        <f t="shared" si="36"/>
        <v>96000</v>
      </c>
      <c r="O250" s="7" t="s">
        <v>1007</v>
      </c>
      <c r="P250" s="10">
        <f t="shared" si="37"/>
        <v>0</v>
      </c>
      <c r="Q250" s="9">
        <f t="shared" si="38"/>
        <v>0</v>
      </c>
      <c r="R250" s="9">
        <f t="shared" si="39"/>
        <v>5000</v>
      </c>
      <c r="S250" s="9" t="str">
        <f t="shared" si="40"/>
        <v>Loss</v>
      </c>
      <c r="T250" s="7" t="str">
        <f t="shared" si="41"/>
        <v>Aug</v>
      </c>
      <c r="U250" s="7">
        <f t="shared" si="42"/>
        <v>2025</v>
      </c>
      <c r="V250" s="7" t="str">
        <f t="shared" si="43"/>
        <v>25-30</v>
      </c>
    </row>
    <row r="251" spans="1:22" x14ac:dyDescent="0.3">
      <c r="A251" s="7" t="s">
        <v>268</v>
      </c>
      <c r="B251" s="8" t="s">
        <v>1272</v>
      </c>
      <c r="C251" s="8">
        <v>23</v>
      </c>
      <c r="D251" s="8" t="s">
        <v>720</v>
      </c>
      <c r="E251" s="8" t="s">
        <v>722</v>
      </c>
      <c r="F251" s="7" t="s">
        <v>727</v>
      </c>
      <c r="G251" s="7" t="s">
        <v>885</v>
      </c>
      <c r="H251" s="7" t="s">
        <v>902</v>
      </c>
      <c r="I251" s="7" t="s">
        <v>799</v>
      </c>
      <c r="J251" s="7">
        <f t="shared" si="33"/>
        <v>5</v>
      </c>
      <c r="K251" s="9">
        <f t="shared" si="34"/>
        <v>60000</v>
      </c>
      <c r="L251" s="7">
        <v>2</v>
      </c>
      <c r="M251" s="9">
        <f t="shared" si="35"/>
        <v>120000</v>
      </c>
      <c r="N251" s="9">
        <f t="shared" si="36"/>
        <v>78000</v>
      </c>
      <c r="O251" s="7" t="s">
        <v>1007</v>
      </c>
      <c r="P251" s="10">
        <f t="shared" si="37"/>
        <v>0</v>
      </c>
      <c r="Q251" s="9">
        <f t="shared" si="38"/>
        <v>0</v>
      </c>
      <c r="R251" s="9">
        <f t="shared" si="39"/>
        <v>5000</v>
      </c>
      <c r="S251" s="9" t="str">
        <f t="shared" si="40"/>
        <v>Loss</v>
      </c>
      <c r="T251" s="7" t="str">
        <f t="shared" si="41"/>
        <v>Jan</v>
      </c>
      <c r="U251" s="7">
        <f t="shared" si="42"/>
        <v>2025</v>
      </c>
      <c r="V251" s="7" t="str">
        <f t="shared" si="43"/>
        <v>20-25</v>
      </c>
    </row>
    <row r="252" spans="1:22" x14ac:dyDescent="0.3">
      <c r="A252" s="7" t="s">
        <v>269</v>
      </c>
      <c r="B252" s="8" t="s">
        <v>1273</v>
      </c>
      <c r="C252" s="8">
        <v>25</v>
      </c>
      <c r="D252" s="8" t="s">
        <v>721</v>
      </c>
      <c r="E252" s="8" t="s">
        <v>723</v>
      </c>
      <c r="F252" s="7" t="s">
        <v>730</v>
      </c>
      <c r="G252" s="7" t="s">
        <v>881</v>
      </c>
      <c r="H252" s="7" t="s">
        <v>941</v>
      </c>
      <c r="I252" s="7" t="s">
        <v>980</v>
      </c>
      <c r="J252" s="7">
        <f t="shared" si="33"/>
        <v>7</v>
      </c>
      <c r="K252" s="9">
        <f t="shared" si="34"/>
        <v>70000</v>
      </c>
      <c r="L252" s="7">
        <v>4</v>
      </c>
      <c r="M252" s="9">
        <f t="shared" si="35"/>
        <v>280000</v>
      </c>
      <c r="N252" s="9">
        <f t="shared" si="36"/>
        <v>168000</v>
      </c>
      <c r="O252" s="7" t="s">
        <v>1006</v>
      </c>
      <c r="P252" s="10">
        <f t="shared" si="37"/>
        <v>7.0000000000000007E-2</v>
      </c>
      <c r="Q252" s="9">
        <f t="shared" si="38"/>
        <v>19600.000000000004</v>
      </c>
      <c r="R252" s="9">
        <f t="shared" si="39"/>
        <v>260400</v>
      </c>
      <c r="S252" s="9" t="str">
        <f t="shared" si="40"/>
        <v>Profit</v>
      </c>
      <c r="T252" s="7" t="str">
        <f t="shared" si="41"/>
        <v>Jul</v>
      </c>
      <c r="U252" s="7">
        <f t="shared" si="42"/>
        <v>2025</v>
      </c>
      <c r="V252" s="7" t="str">
        <f t="shared" si="43"/>
        <v>25-30</v>
      </c>
    </row>
    <row r="253" spans="1:22" x14ac:dyDescent="0.3">
      <c r="A253" s="7" t="s">
        <v>270</v>
      </c>
      <c r="B253" s="8" t="s">
        <v>1274</v>
      </c>
      <c r="C253" s="8">
        <v>54</v>
      </c>
      <c r="D253" s="8" t="s">
        <v>720</v>
      </c>
      <c r="E253" s="8" t="s">
        <v>722</v>
      </c>
      <c r="F253" s="7" t="s">
        <v>732</v>
      </c>
      <c r="G253" s="7" t="s">
        <v>738</v>
      </c>
      <c r="H253" s="7" t="s">
        <v>765</v>
      </c>
      <c r="I253" s="7" t="s">
        <v>800</v>
      </c>
      <c r="J253" s="7">
        <f t="shared" si="33"/>
        <v>5</v>
      </c>
      <c r="K253" s="9">
        <f t="shared" si="34"/>
        <v>60000</v>
      </c>
      <c r="L253" s="7">
        <v>2</v>
      </c>
      <c r="M253" s="9">
        <f t="shared" si="35"/>
        <v>120000</v>
      </c>
      <c r="N253" s="9">
        <f t="shared" si="36"/>
        <v>78000</v>
      </c>
      <c r="O253" s="7" t="s">
        <v>1006</v>
      </c>
      <c r="P253" s="10">
        <f t="shared" si="37"/>
        <v>0.1</v>
      </c>
      <c r="Q253" s="9">
        <f t="shared" si="38"/>
        <v>12000</v>
      </c>
      <c r="R253" s="9">
        <f t="shared" si="39"/>
        <v>108000</v>
      </c>
      <c r="S253" s="9" t="str">
        <f t="shared" si="40"/>
        <v>Profit</v>
      </c>
      <c r="T253" s="7" t="str">
        <f t="shared" si="41"/>
        <v>May</v>
      </c>
      <c r="U253" s="7">
        <f t="shared" si="42"/>
        <v>2025</v>
      </c>
      <c r="V253" s="7" t="str">
        <f t="shared" si="43"/>
        <v>50-55</v>
      </c>
    </row>
    <row r="254" spans="1:22" x14ac:dyDescent="0.3">
      <c r="A254" s="7" t="s">
        <v>271</v>
      </c>
      <c r="B254" s="8" t="s">
        <v>1275</v>
      </c>
      <c r="C254" s="8">
        <v>41</v>
      </c>
      <c r="D254" s="8" t="s">
        <v>721</v>
      </c>
      <c r="E254" s="8" t="s">
        <v>724</v>
      </c>
      <c r="F254" s="7" t="s">
        <v>733</v>
      </c>
      <c r="G254" s="7" t="s">
        <v>860</v>
      </c>
      <c r="H254" s="7" t="s">
        <v>911</v>
      </c>
      <c r="I254" s="7" t="s">
        <v>829</v>
      </c>
      <c r="J254" s="7">
        <f t="shared" si="33"/>
        <v>10</v>
      </c>
      <c r="K254" s="9">
        <f t="shared" si="34"/>
        <v>120000</v>
      </c>
      <c r="L254" s="7">
        <v>1</v>
      </c>
      <c r="M254" s="9">
        <f t="shared" si="35"/>
        <v>120000</v>
      </c>
      <c r="N254" s="9">
        <f t="shared" si="36"/>
        <v>78000</v>
      </c>
      <c r="O254" s="7" t="s">
        <v>1007</v>
      </c>
      <c r="P254" s="10">
        <f t="shared" si="37"/>
        <v>0</v>
      </c>
      <c r="Q254" s="9">
        <f t="shared" si="38"/>
        <v>0</v>
      </c>
      <c r="R254" s="9">
        <f t="shared" si="39"/>
        <v>5000</v>
      </c>
      <c r="S254" s="9" t="str">
        <f t="shared" si="40"/>
        <v>Loss</v>
      </c>
      <c r="T254" s="7" t="str">
        <f t="shared" si="41"/>
        <v>Apr</v>
      </c>
      <c r="U254" s="7">
        <f t="shared" si="42"/>
        <v>2025</v>
      </c>
      <c r="V254" s="7" t="str">
        <f t="shared" si="43"/>
        <v>40-45</v>
      </c>
    </row>
    <row r="255" spans="1:22" x14ac:dyDescent="0.3">
      <c r="A255" s="7" t="s">
        <v>272</v>
      </c>
      <c r="B255" s="8" t="s">
        <v>1276</v>
      </c>
      <c r="C255" s="8">
        <v>44</v>
      </c>
      <c r="D255" s="8" t="s">
        <v>721</v>
      </c>
      <c r="E255" s="8" t="s">
        <v>722</v>
      </c>
      <c r="F255" s="7" t="s">
        <v>1730</v>
      </c>
      <c r="G255" s="7" t="s">
        <v>816</v>
      </c>
      <c r="H255" s="7" t="s">
        <v>962</v>
      </c>
      <c r="I255" s="7" t="s">
        <v>952</v>
      </c>
      <c r="J255" s="7">
        <f t="shared" si="33"/>
        <v>5</v>
      </c>
      <c r="K255" s="9">
        <f t="shared" si="34"/>
        <v>60000</v>
      </c>
      <c r="L255" s="7">
        <v>1</v>
      </c>
      <c r="M255" s="9">
        <f t="shared" si="35"/>
        <v>60000</v>
      </c>
      <c r="N255" s="9">
        <f t="shared" si="36"/>
        <v>39000</v>
      </c>
      <c r="O255" s="7" t="s">
        <v>1007</v>
      </c>
      <c r="P255" s="10">
        <f t="shared" si="37"/>
        <v>0</v>
      </c>
      <c r="Q255" s="9">
        <f t="shared" si="38"/>
        <v>0</v>
      </c>
      <c r="R255" s="9">
        <f t="shared" si="39"/>
        <v>5000</v>
      </c>
      <c r="S255" s="9" t="str">
        <f t="shared" si="40"/>
        <v>Loss</v>
      </c>
      <c r="T255" s="7" t="str">
        <f t="shared" si="41"/>
        <v>May</v>
      </c>
      <c r="U255" s="7">
        <f t="shared" si="42"/>
        <v>2025</v>
      </c>
      <c r="V255" s="7" t="str">
        <f t="shared" si="43"/>
        <v>40-45</v>
      </c>
    </row>
    <row r="256" spans="1:22" x14ac:dyDescent="0.3">
      <c r="A256" s="7" t="s">
        <v>273</v>
      </c>
      <c r="B256" s="8" t="s">
        <v>1277</v>
      </c>
      <c r="C256" s="8">
        <v>26</v>
      </c>
      <c r="D256" s="8" t="s">
        <v>721</v>
      </c>
      <c r="E256" s="8" t="s">
        <v>724</v>
      </c>
      <c r="F256" s="7" t="s">
        <v>1736</v>
      </c>
      <c r="G256" s="7" t="s">
        <v>808</v>
      </c>
      <c r="H256" s="7" t="s">
        <v>788</v>
      </c>
      <c r="I256" s="7" t="s">
        <v>773</v>
      </c>
      <c r="J256" s="7">
        <f t="shared" si="33"/>
        <v>10</v>
      </c>
      <c r="K256" s="9">
        <f t="shared" si="34"/>
        <v>120000</v>
      </c>
      <c r="L256" s="7">
        <v>4</v>
      </c>
      <c r="M256" s="9">
        <f t="shared" si="35"/>
        <v>480000</v>
      </c>
      <c r="N256" s="9">
        <f t="shared" si="36"/>
        <v>312000</v>
      </c>
      <c r="O256" s="7" t="s">
        <v>1006</v>
      </c>
      <c r="P256" s="10">
        <f t="shared" si="37"/>
        <v>0.15</v>
      </c>
      <c r="Q256" s="9">
        <f t="shared" si="38"/>
        <v>72000</v>
      </c>
      <c r="R256" s="9">
        <f t="shared" si="39"/>
        <v>408000</v>
      </c>
      <c r="S256" s="9" t="str">
        <f t="shared" si="40"/>
        <v>Profit</v>
      </c>
      <c r="T256" s="7" t="str">
        <f t="shared" si="41"/>
        <v>Jan</v>
      </c>
      <c r="U256" s="7">
        <f t="shared" si="42"/>
        <v>2025</v>
      </c>
      <c r="V256" s="7" t="str">
        <f t="shared" si="43"/>
        <v>25-30</v>
      </c>
    </row>
    <row r="257" spans="1:22" x14ac:dyDescent="0.3">
      <c r="A257" s="7" t="s">
        <v>274</v>
      </c>
      <c r="B257" s="8" t="s">
        <v>1278</v>
      </c>
      <c r="C257" s="8">
        <v>25</v>
      </c>
      <c r="D257" s="8" t="s">
        <v>721</v>
      </c>
      <c r="E257" s="8" t="s">
        <v>722</v>
      </c>
      <c r="F257" s="7" t="s">
        <v>735</v>
      </c>
      <c r="G257" s="7" t="s">
        <v>886</v>
      </c>
      <c r="H257" s="7" t="s">
        <v>827</v>
      </c>
      <c r="I257" s="7" t="s">
        <v>767</v>
      </c>
      <c r="J257" s="7">
        <f t="shared" si="33"/>
        <v>5</v>
      </c>
      <c r="K257" s="9">
        <f t="shared" si="34"/>
        <v>60000</v>
      </c>
      <c r="L257" s="7">
        <v>2</v>
      </c>
      <c r="M257" s="9">
        <f t="shared" si="35"/>
        <v>120000</v>
      </c>
      <c r="N257" s="9">
        <f t="shared" si="36"/>
        <v>78000</v>
      </c>
      <c r="O257" s="7" t="s">
        <v>1006</v>
      </c>
      <c r="P257" s="10">
        <f t="shared" si="37"/>
        <v>0.1</v>
      </c>
      <c r="Q257" s="9">
        <f t="shared" si="38"/>
        <v>12000</v>
      </c>
      <c r="R257" s="9">
        <f t="shared" si="39"/>
        <v>108000</v>
      </c>
      <c r="S257" s="9" t="str">
        <f t="shared" si="40"/>
        <v>Profit</v>
      </c>
      <c r="T257" s="7" t="str">
        <f t="shared" si="41"/>
        <v>Mar</v>
      </c>
      <c r="U257" s="7">
        <f t="shared" si="42"/>
        <v>2025</v>
      </c>
      <c r="V257" s="7" t="str">
        <f t="shared" si="43"/>
        <v>25-30</v>
      </c>
    </row>
    <row r="258" spans="1:22" x14ac:dyDescent="0.3">
      <c r="A258" s="7" t="s">
        <v>275</v>
      </c>
      <c r="B258" s="8" t="s">
        <v>1279</v>
      </c>
      <c r="C258" s="8">
        <v>21</v>
      </c>
      <c r="D258" s="8" t="s">
        <v>720</v>
      </c>
      <c r="E258" s="8" t="s">
        <v>723</v>
      </c>
      <c r="F258" s="7" t="s">
        <v>730</v>
      </c>
      <c r="G258" s="7" t="s">
        <v>823</v>
      </c>
      <c r="H258" s="7" t="s">
        <v>975</v>
      </c>
      <c r="I258" s="7" t="s">
        <v>754</v>
      </c>
      <c r="J258" s="7">
        <f t="shared" si="33"/>
        <v>7</v>
      </c>
      <c r="K258" s="9">
        <f t="shared" si="34"/>
        <v>70000</v>
      </c>
      <c r="L258" s="7">
        <v>4</v>
      </c>
      <c r="M258" s="9">
        <f t="shared" si="35"/>
        <v>280000</v>
      </c>
      <c r="N258" s="9">
        <f t="shared" si="36"/>
        <v>168000</v>
      </c>
      <c r="O258" s="7" t="s">
        <v>1006</v>
      </c>
      <c r="P258" s="10">
        <f t="shared" si="37"/>
        <v>7.0000000000000007E-2</v>
      </c>
      <c r="Q258" s="9">
        <f t="shared" si="38"/>
        <v>19600.000000000004</v>
      </c>
      <c r="R258" s="9">
        <f t="shared" si="39"/>
        <v>260400</v>
      </c>
      <c r="S258" s="9" t="str">
        <f t="shared" si="40"/>
        <v>Profit</v>
      </c>
      <c r="T258" s="7" t="str">
        <f t="shared" si="41"/>
        <v>Feb</v>
      </c>
      <c r="U258" s="7">
        <f t="shared" si="42"/>
        <v>2025</v>
      </c>
      <c r="V258" s="7" t="str">
        <f t="shared" si="43"/>
        <v>20-25</v>
      </c>
    </row>
    <row r="259" spans="1:22" x14ac:dyDescent="0.3">
      <c r="A259" s="7" t="s">
        <v>276</v>
      </c>
      <c r="B259" s="8" t="s">
        <v>1280</v>
      </c>
      <c r="C259" s="8">
        <v>37</v>
      </c>
      <c r="D259" s="8" t="s">
        <v>721</v>
      </c>
      <c r="E259" s="8" t="s">
        <v>726</v>
      </c>
      <c r="F259" s="7" t="s">
        <v>728</v>
      </c>
      <c r="G259" s="7" t="s">
        <v>887</v>
      </c>
      <c r="H259" s="7" t="s">
        <v>845</v>
      </c>
      <c r="I259" s="7" t="s">
        <v>827</v>
      </c>
      <c r="J259" s="7">
        <f t="shared" si="33"/>
        <v>4</v>
      </c>
      <c r="K259" s="9">
        <f t="shared" si="34"/>
        <v>18000</v>
      </c>
      <c r="L259" s="7">
        <v>4</v>
      </c>
      <c r="M259" s="9">
        <f t="shared" si="35"/>
        <v>72000</v>
      </c>
      <c r="N259" s="9">
        <f t="shared" si="36"/>
        <v>36000</v>
      </c>
      <c r="O259" s="7" t="s">
        <v>1006</v>
      </c>
      <c r="P259" s="10">
        <f t="shared" si="37"/>
        <v>0.05</v>
      </c>
      <c r="Q259" s="9">
        <f t="shared" si="38"/>
        <v>3600</v>
      </c>
      <c r="R259" s="9">
        <f t="shared" si="39"/>
        <v>68400</v>
      </c>
      <c r="S259" s="9" t="str">
        <f t="shared" si="40"/>
        <v>Profit</v>
      </c>
      <c r="T259" s="7" t="str">
        <f t="shared" si="41"/>
        <v>Mar</v>
      </c>
      <c r="U259" s="7">
        <f t="shared" si="42"/>
        <v>2025</v>
      </c>
      <c r="V259" s="7" t="str">
        <f t="shared" si="43"/>
        <v>35-40</v>
      </c>
    </row>
    <row r="260" spans="1:22" x14ac:dyDescent="0.3">
      <c r="A260" s="7" t="s">
        <v>277</v>
      </c>
      <c r="B260" s="8" t="s">
        <v>1281</v>
      </c>
      <c r="C260" s="8">
        <v>26</v>
      </c>
      <c r="D260" s="8" t="s">
        <v>721</v>
      </c>
      <c r="E260" s="8" t="s">
        <v>725</v>
      </c>
      <c r="F260" s="7" t="s">
        <v>1730</v>
      </c>
      <c r="G260" s="7" t="s">
        <v>888</v>
      </c>
      <c r="H260" s="7" t="s">
        <v>935</v>
      </c>
      <c r="I260" s="7" t="s">
        <v>960</v>
      </c>
      <c r="J260" s="7">
        <f t="shared" ref="J260:J323" si="44">IF(E260="Adventure",5,IF(E260="Domestic",4,IF(E260="Family",7,IF(E260="Honeymoon",8,IF(E260="International",10,"")))))</f>
        <v>8</v>
      </c>
      <c r="K260" s="9">
        <f t="shared" ref="K260:K323" si="45">IF(E260="Adventure",60000,
IF(E260="Domestic",18000,
IF(E260="Family",70000,
IF(E260="Honeymoon",80000,
IF(E260="International",120000,"")))))</f>
        <v>80000</v>
      </c>
      <c r="L260" s="7">
        <v>2</v>
      </c>
      <c r="M260" s="9">
        <f t="shared" ref="M260:M323" si="46">K260*L260</f>
        <v>160000</v>
      </c>
      <c r="N260" s="9">
        <f t="shared" ref="N260:N323" si="47">IF(E260="Adventure",M260*65%,IF(E260="Domestic",M260*50%,IF(E260="Family",M260*60%,IF(E260="Honeymoon",M260*60%,IF(E260="International",M260*65%,0)))))</f>
        <v>96000</v>
      </c>
      <c r="O260" s="7" t="s">
        <v>1006</v>
      </c>
      <c r="P260" s="10">
        <f t="shared" ref="P260:P323" si="48">IF(O260="Cancelled",0,IF(E260="Domestic",5%,IF(E260="Adventure",10%,IF(E260="Family",7%,IF(E260="Honeymoon",12%,IF(E260="International",15%,0))))))</f>
        <v>0.12</v>
      </c>
      <c r="Q260" s="9">
        <f t="shared" ref="Q260:Q323" si="49">M260*P260</f>
        <v>19200</v>
      </c>
      <c r="R260" s="9">
        <f t="shared" ref="R260:R323" si="50">IF(O260="Cancelled",5000,M260-Q260)</f>
        <v>140800</v>
      </c>
      <c r="S260" s="9" t="str">
        <f t="shared" ref="S260:S323" si="51">IF(R260-N260&gt;5000,"Profit","Loss")</f>
        <v>Profit</v>
      </c>
      <c r="T260" s="7" t="str">
        <f t="shared" ref="T260:T323" si="52">TEXT(G260,"mmm")</f>
        <v>Mar</v>
      </c>
      <c r="U260" s="7">
        <f t="shared" ref="U260:U323" si="53">YEAR(G260)</f>
        <v>2025</v>
      </c>
      <c r="V260" s="7" t="str">
        <f t="shared" ref="V260:V323" si="54">FLOOR(C260,5) &amp; "-" &amp; FLOOR(C260,5)+5</f>
        <v>25-30</v>
      </c>
    </row>
    <row r="261" spans="1:22" x14ac:dyDescent="0.3">
      <c r="A261" s="7" t="s">
        <v>278</v>
      </c>
      <c r="B261" s="8" t="s">
        <v>1282</v>
      </c>
      <c r="C261" s="8">
        <v>58</v>
      </c>
      <c r="D261" s="8" t="s">
        <v>721</v>
      </c>
      <c r="E261" s="8" t="s">
        <v>723</v>
      </c>
      <c r="F261" s="7" t="s">
        <v>730</v>
      </c>
      <c r="G261" s="7" t="s">
        <v>829</v>
      </c>
      <c r="H261" s="7" t="s">
        <v>736</v>
      </c>
      <c r="I261" s="7" t="s">
        <v>865</v>
      </c>
      <c r="J261" s="7">
        <f t="shared" si="44"/>
        <v>7</v>
      </c>
      <c r="K261" s="9">
        <f t="shared" si="45"/>
        <v>70000</v>
      </c>
      <c r="L261" s="7">
        <v>4</v>
      </c>
      <c r="M261" s="9">
        <f t="shared" si="46"/>
        <v>280000</v>
      </c>
      <c r="N261" s="9">
        <f t="shared" si="47"/>
        <v>168000</v>
      </c>
      <c r="O261" s="7" t="s">
        <v>1007</v>
      </c>
      <c r="P261" s="10">
        <f t="shared" si="48"/>
        <v>0</v>
      </c>
      <c r="Q261" s="9">
        <f t="shared" si="49"/>
        <v>0</v>
      </c>
      <c r="R261" s="9">
        <f t="shared" si="50"/>
        <v>5000</v>
      </c>
      <c r="S261" s="9" t="str">
        <f t="shared" si="51"/>
        <v>Loss</v>
      </c>
      <c r="T261" s="7" t="str">
        <f t="shared" si="52"/>
        <v>Jun</v>
      </c>
      <c r="U261" s="7">
        <f t="shared" si="53"/>
        <v>2025</v>
      </c>
      <c r="V261" s="7" t="str">
        <f t="shared" si="54"/>
        <v>55-60</v>
      </c>
    </row>
    <row r="262" spans="1:22" x14ac:dyDescent="0.3">
      <c r="A262" s="7" t="s">
        <v>279</v>
      </c>
      <c r="B262" s="8" t="s">
        <v>1283</v>
      </c>
      <c r="C262" s="8">
        <v>22</v>
      </c>
      <c r="D262" s="8" t="s">
        <v>720</v>
      </c>
      <c r="E262" s="8" t="s">
        <v>722</v>
      </c>
      <c r="F262" s="7" t="s">
        <v>735</v>
      </c>
      <c r="G262" s="7" t="s">
        <v>750</v>
      </c>
      <c r="H262" s="7" t="s">
        <v>962</v>
      </c>
      <c r="I262" s="7" t="s">
        <v>964</v>
      </c>
      <c r="J262" s="7">
        <f t="shared" si="44"/>
        <v>5</v>
      </c>
      <c r="K262" s="9">
        <f t="shared" si="45"/>
        <v>60000</v>
      </c>
      <c r="L262" s="7">
        <v>1</v>
      </c>
      <c r="M262" s="9">
        <f t="shared" si="46"/>
        <v>60000</v>
      </c>
      <c r="N262" s="9">
        <f t="shared" si="47"/>
        <v>39000</v>
      </c>
      <c r="O262" s="7" t="s">
        <v>1006</v>
      </c>
      <c r="P262" s="10">
        <f t="shared" si="48"/>
        <v>0.1</v>
      </c>
      <c r="Q262" s="9">
        <f t="shared" si="49"/>
        <v>6000</v>
      </c>
      <c r="R262" s="9">
        <f t="shared" si="50"/>
        <v>54000</v>
      </c>
      <c r="S262" s="9" t="str">
        <f t="shared" si="51"/>
        <v>Profit</v>
      </c>
      <c r="T262" s="7" t="str">
        <f t="shared" si="52"/>
        <v>May</v>
      </c>
      <c r="U262" s="7">
        <f t="shared" si="53"/>
        <v>2025</v>
      </c>
      <c r="V262" s="7" t="str">
        <f t="shared" si="54"/>
        <v>20-25</v>
      </c>
    </row>
    <row r="263" spans="1:22" x14ac:dyDescent="0.3">
      <c r="A263" s="7" t="s">
        <v>280</v>
      </c>
      <c r="B263" s="8" t="s">
        <v>1284</v>
      </c>
      <c r="C263" s="8">
        <v>28</v>
      </c>
      <c r="D263" s="8" t="s">
        <v>720</v>
      </c>
      <c r="E263" s="8" t="s">
        <v>725</v>
      </c>
      <c r="F263" s="7" t="s">
        <v>731</v>
      </c>
      <c r="G263" s="7" t="s">
        <v>760</v>
      </c>
      <c r="H263" s="7" t="s">
        <v>848</v>
      </c>
      <c r="I263" s="7" t="s">
        <v>951</v>
      </c>
      <c r="J263" s="7">
        <f t="shared" si="44"/>
        <v>8</v>
      </c>
      <c r="K263" s="9">
        <f t="shared" si="45"/>
        <v>80000</v>
      </c>
      <c r="L263" s="7">
        <v>2</v>
      </c>
      <c r="M263" s="9">
        <f t="shared" si="46"/>
        <v>160000</v>
      </c>
      <c r="N263" s="9">
        <f t="shared" si="47"/>
        <v>96000</v>
      </c>
      <c r="O263" s="7" t="s">
        <v>1007</v>
      </c>
      <c r="P263" s="10">
        <f t="shared" si="48"/>
        <v>0</v>
      </c>
      <c r="Q263" s="9">
        <f t="shared" si="49"/>
        <v>0</v>
      </c>
      <c r="R263" s="9">
        <f t="shared" si="50"/>
        <v>5000</v>
      </c>
      <c r="S263" s="9" t="str">
        <f t="shared" si="51"/>
        <v>Loss</v>
      </c>
      <c r="T263" s="7" t="str">
        <f t="shared" si="52"/>
        <v>Mar</v>
      </c>
      <c r="U263" s="7">
        <f t="shared" si="53"/>
        <v>2025</v>
      </c>
      <c r="V263" s="7" t="str">
        <f t="shared" si="54"/>
        <v>25-30</v>
      </c>
    </row>
    <row r="264" spans="1:22" x14ac:dyDescent="0.3">
      <c r="A264" s="7" t="s">
        <v>281</v>
      </c>
      <c r="B264" s="8" t="s">
        <v>1285</v>
      </c>
      <c r="C264" s="8">
        <v>23</v>
      </c>
      <c r="D264" s="8" t="s">
        <v>720</v>
      </c>
      <c r="E264" s="8" t="s">
        <v>722</v>
      </c>
      <c r="F264" s="7" t="s">
        <v>735</v>
      </c>
      <c r="G264" s="7" t="s">
        <v>816</v>
      </c>
      <c r="H264" s="7" t="s">
        <v>879</v>
      </c>
      <c r="I264" s="7" t="s">
        <v>738</v>
      </c>
      <c r="J264" s="7">
        <f t="shared" si="44"/>
        <v>5</v>
      </c>
      <c r="K264" s="9">
        <f t="shared" si="45"/>
        <v>60000</v>
      </c>
      <c r="L264" s="7">
        <v>1</v>
      </c>
      <c r="M264" s="9">
        <f t="shared" si="46"/>
        <v>60000</v>
      </c>
      <c r="N264" s="9">
        <f t="shared" si="47"/>
        <v>39000</v>
      </c>
      <c r="O264" s="7" t="s">
        <v>1006</v>
      </c>
      <c r="P264" s="10">
        <f t="shared" si="48"/>
        <v>0.1</v>
      </c>
      <c r="Q264" s="9">
        <f t="shared" si="49"/>
        <v>6000</v>
      </c>
      <c r="R264" s="9">
        <f t="shared" si="50"/>
        <v>54000</v>
      </c>
      <c r="S264" s="9" t="str">
        <f t="shared" si="51"/>
        <v>Profit</v>
      </c>
      <c r="T264" s="7" t="str">
        <f t="shared" si="52"/>
        <v>May</v>
      </c>
      <c r="U264" s="7">
        <f t="shared" si="53"/>
        <v>2025</v>
      </c>
      <c r="V264" s="7" t="str">
        <f t="shared" si="54"/>
        <v>20-25</v>
      </c>
    </row>
    <row r="265" spans="1:22" x14ac:dyDescent="0.3">
      <c r="A265" s="7" t="s">
        <v>282</v>
      </c>
      <c r="B265" s="8" t="s">
        <v>1286</v>
      </c>
      <c r="C265" s="8">
        <v>26</v>
      </c>
      <c r="D265" s="8" t="s">
        <v>721</v>
      </c>
      <c r="E265" s="8" t="s">
        <v>725</v>
      </c>
      <c r="F265" s="7" t="s">
        <v>729</v>
      </c>
      <c r="G265" s="7" t="s">
        <v>756</v>
      </c>
      <c r="H265" s="7" t="s">
        <v>909</v>
      </c>
      <c r="I265" s="7" t="s">
        <v>789</v>
      </c>
      <c r="J265" s="7">
        <f t="shared" si="44"/>
        <v>8</v>
      </c>
      <c r="K265" s="9">
        <f t="shared" si="45"/>
        <v>80000</v>
      </c>
      <c r="L265" s="7">
        <v>2</v>
      </c>
      <c r="M265" s="9">
        <f t="shared" si="46"/>
        <v>160000</v>
      </c>
      <c r="N265" s="9">
        <f t="shared" si="47"/>
        <v>96000</v>
      </c>
      <c r="O265" s="7" t="s">
        <v>1007</v>
      </c>
      <c r="P265" s="10">
        <f t="shared" si="48"/>
        <v>0</v>
      </c>
      <c r="Q265" s="9">
        <f t="shared" si="49"/>
        <v>0</v>
      </c>
      <c r="R265" s="9">
        <f t="shared" si="50"/>
        <v>5000</v>
      </c>
      <c r="S265" s="9" t="str">
        <f t="shared" si="51"/>
        <v>Loss</v>
      </c>
      <c r="T265" s="7" t="str">
        <f t="shared" si="52"/>
        <v>Mar</v>
      </c>
      <c r="U265" s="7">
        <f t="shared" si="53"/>
        <v>2025</v>
      </c>
      <c r="V265" s="7" t="str">
        <f t="shared" si="54"/>
        <v>25-30</v>
      </c>
    </row>
    <row r="266" spans="1:22" x14ac:dyDescent="0.3">
      <c r="A266" s="7" t="s">
        <v>283</v>
      </c>
      <c r="B266" s="8" t="s">
        <v>1287</v>
      </c>
      <c r="C266" s="8">
        <v>42</v>
      </c>
      <c r="D266" s="8" t="s">
        <v>720</v>
      </c>
      <c r="E266" s="8" t="s">
        <v>723</v>
      </c>
      <c r="F266" s="7" t="s">
        <v>1730</v>
      </c>
      <c r="G266" s="7" t="s">
        <v>874</v>
      </c>
      <c r="H266" s="7" t="s">
        <v>894</v>
      </c>
      <c r="I266" s="7" t="s">
        <v>921</v>
      </c>
      <c r="J266" s="7">
        <f t="shared" si="44"/>
        <v>7</v>
      </c>
      <c r="K266" s="9">
        <f t="shared" si="45"/>
        <v>70000</v>
      </c>
      <c r="L266" s="7">
        <v>3</v>
      </c>
      <c r="M266" s="9">
        <f t="shared" si="46"/>
        <v>210000</v>
      </c>
      <c r="N266" s="9">
        <f t="shared" si="47"/>
        <v>126000</v>
      </c>
      <c r="O266" s="7" t="s">
        <v>1006</v>
      </c>
      <c r="P266" s="10">
        <f t="shared" si="48"/>
        <v>7.0000000000000007E-2</v>
      </c>
      <c r="Q266" s="9">
        <f t="shared" si="49"/>
        <v>14700.000000000002</v>
      </c>
      <c r="R266" s="9">
        <f t="shared" si="50"/>
        <v>195300</v>
      </c>
      <c r="S266" s="9" t="str">
        <f t="shared" si="51"/>
        <v>Profit</v>
      </c>
      <c r="T266" s="7" t="str">
        <f t="shared" si="52"/>
        <v>Feb</v>
      </c>
      <c r="U266" s="7">
        <f t="shared" si="53"/>
        <v>2025</v>
      </c>
      <c r="V266" s="7" t="str">
        <f t="shared" si="54"/>
        <v>40-45</v>
      </c>
    </row>
    <row r="267" spans="1:22" x14ac:dyDescent="0.3">
      <c r="A267" s="7" t="s">
        <v>284</v>
      </c>
      <c r="B267" s="8" t="s">
        <v>1288</v>
      </c>
      <c r="C267" s="8">
        <v>44</v>
      </c>
      <c r="D267" s="8" t="s">
        <v>720</v>
      </c>
      <c r="E267" s="8" t="s">
        <v>723</v>
      </c>
      <c r="F267" s="7" t="s">
        <v>731</v>
      </c>
      <c r="G267" s="7" t="s">
        <v>795</v>
      </c>
      <c r="H267" s="7" t="s">
        <v>950</v>
      </c>
      <c r="I267" s="7" t="s">
        <v>837</v>
      </c>
      <c r="J267" s="7">
        <f t="shared" si="44"/>
        <v>7</v>
      </c>
      <c r="K267" s="9">
        <f t="shared" si="45"/>
        <v>70000</v>
      </c>
      <c r="L267" s="7">
        <v>4</v>
      </c>
      <c r="M267" s="9">
        <f t="shared" si="46"/>
        <v>280000</v>
      </c>
      <c r="N267" s="9">
        <f t="shared" si="47"/>
        <v>168000</v>
      </c>
      <c r="O267" s="7" t="s">
        <v>1006</v>
      </c>
      <c r="P267" s="10">
        <f t="shared" si="48"/>
        <v>7.0000000000000007E-2</v>
      </c>
      <c r="Q267" s="9">
        <f t="shared" si="49"/>
        <v>19600.000000000004</v>
      </c>
      <c r="R267" s="9">
        <f t="shared" si="50"/>
        <v>260400</v>
      </c>
      <c r="S267" s="9" t="str">
        <f t="shared" si="51"/>
        <v>Profit</v>
      </c>
      <c r="T267" s="7" t="str">
        <f t="shared" si="52"/>
        <v>Jan</v>
      </c>
      <c r="U267" s="7">
        <f t="shared" si="53"/>
        <v>2025</v>
      </c>
      <c r="V267" s="7" t="str">
        <f t="shared" si="54"/>
        <v>40-45</v>
      </c>
    </row>
    <row r="268" spans="1:22" x14ac:dyDescent="0.3">
      <c r="A268" s="7" t="s">
        <v>285</v>
      </c>
      <c r="B268" s="8" t="s">
        <v>1289</v>
      </c>
      <c r="C268" s="8">
        <v>46</v>
      </c>
      <c r="D268" s="8" t="s">
        <v>720</v>
      </c>
      <c r="E268" s="8" t="s">
        <v>726</v>
      </c>
      <c r="F268" s="7" t="s">
        <v>1730</v>
      </c>
      <c r="G268" s="7" t="s">
        <v>889</v>
      </c>
      <c r="H268" s="7" t="s">
        <v>816</v>
      </c>
      <c r="I268" s="7" t="s">
        <v>890</v>
      </c>
      <c r="J268" s="7">
        <f t="shared" si="44"/>
        <v>4</v>
      </c>
      <c r="K268" s="9">
        <f t="shared" si="45"/>
        <v>18000</v>
      </c>
      <c r="L268" s="7">
        <v>4</v>
      </c>
      <c r="M268" s="9">
        <f t="shared" si="46"/>
        <v>72000</v>
      </c>
      <c r="N268" s="9">
        <f t="shared" si="47"/>
        <v>36000</v>
      </c>
      <c r="O268" s="7" t="s">
        <v>1006</v>
      </c>
      <c r="P268" s="10">
        <f t="shared" si="48"/>
        <v>0.05</v>
      </c>
      <c r="Q268" s="9">
        <f t="shared" si="49"/>
        <v>3600</v>
      </c>
      <c r="R268" s="9">
        <f t="shared" si="50"/>
        <v>68400</v>
      </c>
      <c r="S268" s="9" t="str">
        <f t="shared" si="51"/>
        <v>Profit</v>
      </c>
      <c r="T268" s="7" t="str">
        <f t="shared" si="52"/>
        <v>Apr</v>
      </c>
      <c r="U268" s="7">
        <f t="shared" si="53"/>
        <v>2025</v>
      </c>
      <c r="V268" s="7" t="str">
        <f t="shared" si="54"/>
        <v>45-50</v>
      </c>
    </row>
    <row r="269" spans="1:22" x14ac:dyDescent="0.3">
      <c r="A269" s="7" t="s">
        <v>286</v>
      </c>
      <c r="B269" s="8" t="s">
        <v>1290</v>
      </c>
      <c r="C269" s="8">
        <v>30</v>
      </c>
      <c r="D269" s="8" t="s">
        <v>721</v>
      </c>
      <c r="E269" s="8" t="s">
        <v>725</v>
      </c>
      <c r="F269" s="7" t="s">
        <v>735</v>
      </c>
      <c r="G269" s="7" t="s">
        <v>890</v>
      </c>
      <c r="H269" s="7" t="s">
        <v>801</v>
      </c>
      <c r="I269" s="7" t="s">
        <v>850</v>
      </c>
      <c r="J269" s="7">
        <f t="shared" si="44"/>
        <v>8</v>
      </c>
      <c r="K269" s="9">
        <f t="shared" si="45"/>
        <v>80000</v>
      </c>
      <c r="L269" s="7">
        <v>2</v>
      </c>
      <c r="M269" s="9">
        <f t="shared" si="46"/>
        <v>160000</v>
      </c>
      <c r="N269" s="9">
        <f t="shared" si="47"/>
        <v>96000</v>
      </c>
      <c r="O269" s="7" t="s">
        <v>1006</v>
      </c>
      <c r="P269" s="10">
        <f t="shared" si="48"/>
        <v>0.12</v>
      </c>
      <c r="Q269" s="9">
        <f t="shared" si="49"/>
        <v>19200</v>
      </c>
      <c r="R269" s="9">
        <f t="shared" si="50"/>
        <v>140800</v>
      </c>
      <c r="S269" s="9" t="str">
        <f t="shared" si="51"/>
        <v>Profit</v>
      </c>
      <c r="T269" s="7" t="str">
        <f t="shared" si="52"/>
        <v>May</v>
      </c>
      <c r="U269" s="7">
        <f t="shared" si="53"/>
        <v>2025</v>
      </c>
      <c r="V269" s="7" t="str">
        <f t="shared" si="54"/>
        <v>30-35</v>
      </c>
    </row>
    <row r="270" spans="1:22" x14ac:dyDescent="0.3">
      <c r="A270" s="7" t="s">
        <v>287</v>
      </c>
      <c r="B270" s="8" t="s">
        <v>1291</v>
      </c>
      <c r="C270" s="8">
        <v>40</v>
      </c>
      <c r="D270" s="8" t="s">
        <v>721</v>
      </c>
      <c r="E270" s="8" t="s">
        <v>722</v>
      </c>
      <c r="F270" s="7" t="s">
        <v>1730</v>
      </c>
      <c r="G270" s="7" t="s">
        <v>891</v>
      </c>
      <c r="H270" s="7" t="s">
        <v>917</v>
      </c>
      <c r="I270" s="7" t="s">
        <v>839</v>
      </c>
      <c r="J270" s="7">
        <f t="shared" si="44"/>
        <v>5</v>
      </c>
      <c r="K270" s="9">
        <f t="shared" si="45"/>
        <v>60000</v>
      </c>
      <c r="L270" s="7">
        <v>1</v>
      </c>
      <c r="M270" s="9">
        <f t="shared" si="46"/>
        <v>60000</v>
      </c>
      <c r="N270" s="9">
        <f t="shared" si="47"/>
        <v>39000</v>
      </c>
      <c r="O270" s="7" t="s">
        <v>1007</v>
      </c>
      <c r="P270" s="10">
        <f t="shared" si="48"/>
        <v>0</v>
      </c>
      <c r="Q270" s="9">
        <f t="shared" si="49"/>
        <v>0</v>
      </c>
      <c r="R270" s="9">
        <f t="shared" si="50"/>
        <v>5000</v>
      </c>
      <c r="S270" s="9" t="str">
        <f t="shared" si="51"/>
        <v>Loss</v>
      </c>
      <c r="T270" s="7" t="str">
        <f t="shared" si="52"/>
        <v>Jul</v>
      </c>
      <c r="U270" s="7">
        <f t="shared" si="53"/>
        <v>2025</v>
      </c>
      <c r="V270" s="7" t="str">
        <f t="shared" si="54"/>
        <v>40-45</v>
      </c>
    </row>
    <row r="271" spans="1:22" x14ac:dyDescent="0.3">
      <c r="A271" s="7" t="s">
        <v>288</v>
      </c>
      <c r="B271" s="8" t="s">
        <v>1292</v>
      </c>
      <c r="C271" s="8">
        <v>39</v>
      </c>
      <c r="D271" s="8" t="s">
        <v>721</v>
      </c>
      <c r="E271" s="8" t="s">
        <v>722</v>
      </c>
      <c r="F271" s="7" t="s">
        <v>735</v>
      </c>
      <c r="G271" s="7" t="s">
        <v>757</v>
      </c>
      <c r="H271" s="7" t="s">
        <v>942</v>
      </c>
      <c r="I271" s="7" t="s">
        <v>943</v>
      </c>
      <c r="J271" s="7">
        <f t="shared" si="44"/>
        <v>5</v>
      </c>
      <c r="K271" s="9">
        <f t="shared" si="45"/>
        <v>60000</v>
      </c>
      <c r="L271" s="7">
        <v>4</v>
      </c>
      <c r="M271" s="9">
        <f t="shared" si="46"/>
        <v>240000</v>
      </c>
      <c r="N271" s="9">
        <f t="shared" si="47"/>
        <v>156000</v>
      </c>
      <c r="O271" s="7" t="s">
        <v>1006</v>
      </c>
      <c r="P271" s="10">
        <f t="shared" si="48"/>
        <v>0.1</v>
      </c>
      <c r="Q271" s="9">
        <f t="shared" si="49"/>
        <v>24000</v>
      </c>
      <c r="R271" s="9">
        <f t="shared" si="50"/>
        <v>216000</v>
      </c>
      <c r="S271" s="9" t="str">
        <f t="shared" si="51"/>
        <v>Profit</v>
      </c>
      <c r="T271" s="7" t="str">
        <f t="shared" si="52"/>
        <v>Jun</v>
      </c>
      <c r="U271" s="7">
        <f t="shared" si="53"/>
        <v>2025</v>
      </c>
      <c r="V271" s="7" t="str">
        <f t="shared" si="54"/>
        <v>35-40</v>
      </c>
    </row>
    <row r="272" spans="1:22" x14ac:dyDescent="0.3">
      <c r="A272" s="7" t="s">
        <v>289</v>
      </c>
      <c r="B272" s="8" t="s">
        <v>1293</v>
      </c>
      <c r="C272" s="8">
        <v>27</v>
      </c>
      <c r="D272" s="8" t="s">
        <v>720</v>
      </c>
      <c r="E272" s="8" t="s">
        <v>725</v>
      </c>
      <c r="F272" s="7" t="s">
        <v>729</v>
      </c>
      <c r="G272" s="7" t="s">
        <v>892</v>
      </c>
      <c r="H272" s="7" t="s">
        <v>868</v>
      </c>
      <c r="I272" s="7" t="s">
        <v>912</v>
      </c>
      <c r="J272" s="7">
        <f t="shared" si="44"/>
        <v>8</v>
      </c>
      <c r="K272" s="9">
        <f t="shared" si="45"/>
        <v>80000</v>
      </c>
      <c r="L272" s="7">
        <v>2</v>
      </c>
      <c r="M272" s="9">
        <f t="shared" si="46"/>
        <v>160000</v>
      </c>
      <c r="N272" s="9">
        <f t="shared" si="47"/>
        <v>96000</v>
      </c>
      <c r="O272" s="7" t="s">
        <v>1007</v>
      </c>
      <c r="P272" s="10">
        <f t="shared" si="48"/>
        <v>0</v>
      </c>
      <c r="Q272" s="9">
        <f t="shared" si="49"/>
        <v>0</v>
      </c>
      <c r="R272" s="9">
        <f t="shared" si="50"/>
        <v>5000</v>
      </c>
      <c r="S272" s="9" t="str">
        <f t="shared" si="51"/>
        <v>Loss</v>
      </c>
      <c r="T272" s="7" t="str">
        <f t="shared" si="52"/>
        <v>Mar</v>
      </c>
      <c r="U272" s="7">
        <f t="shared" si="53"/>
        <v>2025</v>
      </c>
      <c r="V272" s="7" t="str">
        <f t="shared" si="54"/>
        <v>25-30</v>
      </c>
    </row>
    <row r="273" spans="1:22" x14ac:dyDescent="0.3">
      <c r="A273" s="7" t="s">
        <v>290</v>
      </c>
      <c r="B273" s="8" t="s">
        <v>1294</v>
      </c>
      <c r="C273" s="8">
        <v>33</v>
      </c>
      <c r="D273" s="8" t="s">
        <v>720</v>
      </c>
      <c r="E273" s="8" t="s">
        <v>725</v>
      </c>
      <c r="F273" s="7" t="s">
        <v>1730</v>
      </c>
      <c r="G273" s="7" t="s">
        <v>893</v>
      </c>
      <c r="H273" s="7" t="s">
        <v>981</v>
      </c>
      <c r="I273" s="7" t="s">
        <v>974</v>
      </c>
      <c r="J273" s="7">
        <f t="shared" si="44"/>
        <v>8</v>
      </c>
      <c r="K273" s="9">
        <f t="shared" si="45"/>
        <v>80000</v>
      </c>
      <c r="L273" s="7">
        <v>2</v>
      </c>
      <c r="M273" s="9">
        <f t="shared" si="46"/>
        <v>160000</v>
      </c>
      <c r="N273" s="9">
        <f t="shared" si="47"/>
        <v>96000</v>
      </c>
      <c r="O273" s="7" t="s">
        <v>1006</v>
      </c>
      <c r="P273" s="10">
        <f t="shared" si="48"/>
        <v>0.12</v>
      </c>
      <c r="Q273" s="9">
        <f t="shared" si="49"/>
        <v>19200</v>
      </c>
      <c r="R273" s="9">
        <f t="shared" si="50"/>
        <v>140800</v>
      </c>
      <c r="S273" s="9" t="str">
        <f t="shared" si="51"/>
        <v>Profit</v>
      </c>
      <c r="T273" s="7" t="str">
        <f t="shared" si="52"/>
        <v>Aug</v>
      </c>
      <c r="U273" s="7">
        <f t="shared" si="53"/>
        <v>2025</v>
      </c>
      <c r="V273" s="7" t="str">
        <f t="shared" si="54"/>
        <v>30-35</v>
      </c>
    </row>
    <row r="274" spans="1:22" x14ac:dyDescent="0.3">
      <c r="A274" s="7" t="s">
        <v>291</v>
      </c>
      <c r="B274" s="8" t="s">
        <v>1295</v>
      </c>
      <c r="C274" s="8">
        <v>32</v>
      </c>
      <c r="D274" s="8" t="s">
        <v>721</v>
      </c>
      <c r="E274" s="8" t="s">
        <v>725</v>
      </c>
      <c r="F274" s="7" t="s">
        <v>730</v>
      </c>
      <c r="G274" s="7" t="s">
        <v>754</v>
      </c>
      <c r="H274" s="7" t="s">
        <v>921</v>
      </c>
      <c r="I274" s="7" t="s">
        <v>888</v>
      </c>
      <c r="J274" s="7">
        <f t="shared" si="44"/>
        <v>8</v>
      </c>
      <c r="K274" s="9">
        <f t="shared" si="45"/>
        <v>80000</v>
      </c>
      <c r="L274" s="7">
        <v>2</v>
      </c>
      <c r="M274" s="9">
        <f t="shared" si="46"/>
        <v>160000</v>
      </c>
      <c r="N274" s="9">
        <f t="shared" si="47"/>
        <v>96000</v>
      </c>
      <c r="O274" s="7" t="s">
        <v>1006</v>
      </c>
      <c r="P274" s="10">
        <f t="shared" si="48"/>
        <v>0.12</v>
      </c>
      <c r="Q274" s="9">
        <f t="shared" si="49"/>
        <v>19200</v>
      </c>
      <c r="R274" s="9">
        <f t="shared" si="50"/>
        <v>140800</v>
      </c>
      <c r="S274" s="9" t="str">
        <f t="shared" si="51"/>
        <v>Profit</v>
      </c>
      <c r="T274" s="7" t="str">
        <f t="shared" si="52"/>
        <v>Mar</v>
      </c>
      <c r="U274" s="7">
        <f t="shared" si="53"/>
        <v>2025</v>
      </c>
      <c r="V274" s="7" t="str">
        <f t="shared" si="54"/>
        <v>30-35</v>
      </c>
    </row>
    <row r="275" spans="1:22" x14ac:dyDescent="0.3">
      <c r="A275" s="7" t="s">
        <v>292</v>
      </c>
      <c r="B275" s="8" t="s">
        <v>1296</v>
      </c>
      <c r="C275" s="8">
        <v>28</v>
      </c>
      <c r="D275" s="8" t="s">
        <v>721</v>
      </c>
      <c r="E275" s="8" t="s">
        <v>725</v>
      </c>
      <c r="F275" s="7" t="s">
        <v>734</v>
      </c>
      <c r="G275" s="7" t="s">
        <v>894</v>
      </c>
      <c r="H275" s="7" t="s">
        <v>977</v>
      </c>
      <c r="I275" s="7" t="s">
        <v>767</v>
      </c>
      <c r="J275" s="7">
        <f t="shared" si="44"/>
        <v>8</v>
      </c>
      <c r="K275" s="9">
        <f t="shared" si="45"/>
        <v>80000</v>
      </c>
      <c r="L275" s="7">
        <v>2</v>
      </c>
      <c r="M275" s="9">
        <f t="shared" si="46"/>
        <v>160000</v>
      </c>
      <c r="N275" s="9">
        <f t="shared" si="47"/>
        <v>96000</v>
      </c>
      <c r="O275" s="7" t="s">
        <v>1006</v>
      </c>
      <c r="P275" s="10">
        <f t="shared" si="48"/>
        <v>0.12</v>
      </c>
      <c r="Q275" s="9">
        <f t="shared" si="49"/>
        <v>19200</v>
      </c>
      <c r="R275" s="9">
        <f t="shared" si="50"/>
        <v>140800</v>
      </c>
      <c r="S275" s="9" t="str">
        <f t="shared" si="51"/>
        <v>Profit</v>
      </c>
      <c r="T275" s="7" t="str">
        <f t="shared" si="52"/>
        <v>Mar</v>
      </c>
      <c r="U275" s="7">
        <f t="shared" si="53"/>
        <v>2025</v>
      </c>
      <c r="V275" s="7" t="str">
        <f t="shared" si="54"/>
        <v>25-30</v>
      </c>
    </row>
    <row r="276" spans="1:22" x14ac:dyDescent="0.3">
      <c r="A276" s="7" t="s">
        <v>293</v>
      </c>
      <c r="B276" s="8" t="s">
        <v>1297</v>
      </c>
      <c r="C276" s="8">
        <v>20</v>
      </c>
      <c r="D276" s="8" t="s">
        <v>720</v>
      </c>
      <c r="E276" s="8" t="s">
        <v>726</v>
      </c>
      <c r="F276" s="7" t="s">
        <v>1726</v>
      </c>
      <c r="G276" s="7" t="s">
        <v>895</v>
      </c>
      <c r="H276" s="7" t="s">
        <v>982</v>
      </c>
      <c r="I276" s="7" t="s">
        <v>1000</v>
      </c>
      <c r="J276" s="7">
        <f t="shared" si="44"/>
        <v>4</v>
      </c>
      <c r="K276" s="9">
        <f t="shared" si="45"/>
        <v>18000</v>
      </c>
      <c r="L276" s="7">
        <v>1</v>
      </c>
      <c r="M276" s="9">
        <f t="shared" si="46"/>
        <v>18000</v>
      </c>
      <c r="N276" s="9">
        <f t="shared" si="47"/>
        <v>9000</v>
      </c>
      <c r="O276" s="7" t="s">
        <v>1007</v>
      </c>
      <c r="P276" s="10">
        <f t="shared" si="48"/>
        <v>0</v>
      </c>
      <c r="Q276" s="9">
        <f t="shared" si="49"/>
        <v>0</v>
      </c>
      <c r="R276" s="9">
        <f t="shared" si="50"/>
        <v>5000</v>
      </c>
      <c r="S276" s="9" t="str">
        <f t="shared" si="51"/>
        <v>Loss</v>
      </c>
      <c r="T276" s="7" t="str">
        <f t="shared" si="52"/>
        <v>Aug</v>
      </c>
      <c r="U276" s="7">
        <f t="shared" si="53"/>
        <v>2025</v>
      </c>
      <c r="V276" s="7" t="str">
        <f t="shared" si="54"/>
        <v>20-25</v>
      </c>
    </row>
    <row r="277" spans="1:22" x14ac:dyDescent="0.3">
      <c r="A277" s="7" t="s">
        <v>294</v>
      </c>
      <c r="B277" s="8" t="s">
        <v>1298</v>
      </c>
      <c r="C277" s="8">
        <v>33</v>
      </c>
      <c r="D277" s="8" t="s">
        <v>721</v>
      </c>
      <c r="E277" s="8" t="s">
        <v>723</v>
      </c>
      <c r="F277" s="7" t="s">
        <v>730</v>
      </c>
      <c r="G277" s="7" t="s">
        <v>789</v>
      </c>
      <c r="H277" s="7" t="s">
        <v>748</v>
      </c>
      <c r="I277" s="7" t="s">
        <v>775</v>
      </c>
      <c r="J277" s="7">
        <f t="shared" si="44"/>
        <v>7</v>
      </c>
      <c r="K277" s="9">
        <f t="shared" si="45"/>
        <v>70000</v>
      </c>
      <c r="L277" s="7">
        <v>3</v>
      </c>
      <c r="M277" s="9">
        <f t="shared" si="46"/>
        <v>210000</v>
      </c>
      <c r="N277" s="9">
        <f t="shared" si="47"/>
        <v>126000</v>
      </c>
      <c r="O277" s="7" t="s">
        <v>1006</v>
      </c>
      <c r="P277" s="10">
        <f t="shared" si="48"/>
        <v>7.0000000000000007E-2</v>
      </c>
      <c r="Q277" s="9">
        <f t="shared" si="49"/>
        <v>14700.000000000002</v>
      </c>
      <c r="R277" s="9">
        <f t="shared" si="50"/>
        <v>195300</v>
      </c>
      <c r="S277" s="9" t="str">
        <f t="shared" si="51"/>
        <v>Profit</v>
      </c>
      <c r="T277" s="7" t="str">
        <f t="shared" si="52"/>
        <v>Apr</v>
      </c>
      <c r="U277" s="7">
        <f t="shared" si="53"/>
        <v>2025</v>
      </c>
      <c r="V277" s="7" t="str">
        <f t="shared" si="54"/>
        <v>30-35</v>
      </c>
    </row>
    <row r="278" spans="1:22" x14ac:dyDescent="0.3">
      <c r="A278" s="7" t="s">
        <v>295</v>
      </c>
      <c r="B278" s="8" t="s">
        <v>1299</v>
      </c>
      <c r="C278" s="8">
        <v>32</v>
      </c>
      <c r="D278" s="8" t="s">
        <v>721</v>
      </c>
      <c r="E278" s="8" t="s">
        <v>724</v>
      </c>
      <c r="F278" s="7" t="s">
        <v>729</v>
      </c>
      <c r="G278" s="7" t="s">
        <v>828</v>
      </c>
      <c r="H278" s="7" t="s">
        <v>878</v>
      </c>
      <c r="I278" s="7" t="s">
        <v>762</v>
      </c>
      <c r="J278" s="7">
        <f t="shared" si="44"/>
        <v>10</v>
      </c>
      <c r="K278" s="9">
        <f t="shared" si="45"/>
        <v>120000</v>
      </c>
      <c r="L278" s="7">
        <v>4</v>
      </c>
      <c r="M278" s="9">
        <f t="shared" si="46"/>
        <v>480000</v>
      </c>
      <c r="N278" s="9">
        <f t="shared" si="47"/>
        <v>312000</v>
      </c>
      <c r="O278" s="7" t="s">
        <v>1007</v>
      </c>
      <c r="P278" s="10">
        <f t="shared" si="48"/>
        <v>0</v>
      </c>
      <c r="Q278" s="9">
        <f t="shared" si="49"/>
        <v>0</v>
      </c>
      <c r="R278" s="9">
        <f t="shared" si="50"/>
        <v>5000</v>
      </c>
      <c r="S278" s="9" t="str">
        <f t="shared" si="51"/>
        <v>Loss</v>
      </c>
      <c r="T278" s="7" t="str">
        <f t="shared" si="52"/>
        <v>Feb</v>
      </c>
      <c r="U278" s="7">
        <f t="shared" si="53"/>
        <v>2025</v>
      </c>
      <c r="V278" s="7" t="str">
        <f t="shared" si="54"/>
        <v>30-35</v>
      </c>
    </row>
    <row r="279" spans="1:22" x14ac:dyDescent="0.3">
      <c r="A279" s="7" t="s">
        <v>296</v>
      </c>
      <c r="B279" s="8" t="s">
        <v>1300</v>
      </c>
      <c r="C279" s="8">
        <v>29</v>
      </c>
      <c r="D279" s="8" t="s">
        <v>720</v>
      </c>
      <c r="E279" s="8" t="s">
        <v>723</v>
      </c>
      <c r="F279" s="7" t="s">
        <v>728</v>
      </c>
      <c r="G279" s="7" t="s">
        <v>784</v>
      </c>
      <c r="H279" s="7" t="s">
        <v>853</v>
      </c>
      <c r="I279" s="7" t="s">
        <v>942</v>
      </c>
      <c r="J279" s="7">
        <f t="shared" si="44"/>
        <v>7</v>
      </c>
      <c r="K279" s="9">
        <f t="shared" si="45"/>
        <v>70000</v>
      </c>
      <c r="L279" s="7">
        <v>1</v>
      </c>
      <c r="M279" s="9">
        <f t="shared" si="46"/>
        <v>70000</v>
      </c>
      <c r="N279" s="9">
        <f t="shared" si="47"/>
        <v>42000</v>
      </c>
      <c r="O279" s="7" t="s">
        <v>1006</v>
      </c>
      <c r="P279" s="10">
        <f t="shared" si="48"/>
        <v>7.0000000000000007E-2</v>
      </c>
      <c r="Q279" s="9">
        <f t="shared" si="49"/>
        <v>4900.0000000000009</v>
      </c>
      <c r="R279" s="9">
        <f t="shared" si="50"/>
        <v>65100</v>
      </c>
      <c r="S279" s="9" t="str">
        <f t="shared" si="51"/>
        <v>Profit</v>
      </c>
      <c r="T279" s="7" t="str">
        <f t="shared" si="52"/>
        <v>Jun</v>
      </c>
      <c r="U279" s="7">
        <f t="shared" si="53"/>
        <v>2025</v>
      </c>
      <c r="V279" s="7" t="str">
        <f t="shared" si="54"/>
        <v>25-30</v>
      </c>
    </row>
    <row r="280" spans="1:22" x14ac:dyDescent="0.3">
      <c r="A280" s="7" t="s">
        <v>297</v>
      </c>
      <c r="B280" s="8" t="s">
        <v>1301</v>
      </c>
      <c r="C280" s="8">
        <v>24</v>
      </c>
      <c r="D280" s="8" t="s">
        <v>721</v>
      </c>
      <c r="E280" s="8" t="s">
        <v>725</v>
      </c>
      <c r="F280" s="7" t="s">
        <v>732</v>
      </c>
      <c r="G280" s="7" t="s">
        <v>850</v>
      </c>
      <c r="H280" s="7" t="s">
        <v>765</v>
      </c>
      <c r="I280" s="7" t="s">
        <v>818</v>
      </c>
      <c r="J280" s="7">
        <f t="shared" si="44"/>
        <v>8</v>
      </c>
      <c r="K280" s="9">
        <f t="shared" si="45"/>
        <v>80000</v>
      </c>
      <c r="L280" s="7">
        <v>2</v>
      </c>
      <c r="M280" s="9">
        <f t="shared" si="46"/>
        <v>160000</v>
      </c>
      <c r="N280" s="9">
        <f t="shared" si="47"/>
        <v>96000</v>
      </c>
      <c r="O280" s="7" t="s">
        <v>1007</v>
      </c>
      <c r="P280" s="10">
        <f t="shared" si="48"/>
        <v>0</v>
      </c>
      <c r="Q280" s="9">
        <f t="shared" si="49"/>
        <v>0</v>
      </c>
      <c r="R280" s="9">
        <f t="shared" si="50"/>
        <v>5000</v>
      </c>
      <c r="S280" s="9" t="str">
        <f t="shared" si="51"/>
        <v>Loss</v>
      </c>
      <c r="T280" s="7" t="str">
        <f t="shared" si="52"/>
        <v>May</v>
      </c>
      <c r="U280" s="7">
        <f t="shared" si="53"/>
        <v>2025</v>
      </c>
      <c r="V280" s="7" t="str">
        <f t="shared" si="54"/>
        <v>20-25</v>
      </c>
    </row>
    <row r="281" spans="1:22" x14ac:dyDescent="0.3">
      <c r="A281" s="7" t="s">
        <v>298</v>
      </c>
      <c r="B281" s="8" t="s">
        <v>1302</v>
      </c>
      <c r="C281" s="8">
        <v>26</v>
      </c>
      <c r="D281" s="8" t="s">
        <v>721</v>
      </c>
      <c r="E281" s="8" t="s">
        <v>723</v>
      </c>
      <c r="F281" s="7" t="s">
        <v>734</v>
      </c>
      <c r="G281" s="7" t="s">
        <v>783</v>
      </c>
      <c r="H281" s="7" t="s">
        <v>978</v>
      </c>
      <c r="I281" s="7" t="s">
        <v>757</v>
      </c>
      <c r="J281" s="7">
        <f t="shared" si="44"/>
        <v>7</v>
      </c>
      <c r="K281" s="9">
        <f t="shared" si="45"/>
        <v>70000</v>
      </c>
      <c r="L281" s="7">
        <v>3</v>
      </c>
      <c r="M281" s="9">
        <f t="shared" si="46"/>
        <v>210000</v>
      </c>
      <c r="N281" s="9">
        <f t="shared" si="47"/>
        <v>126000</v>
      </c>
      <c r="O281" s="7" t="s">
        <v>1006</v>
      </c>
      <c r="P281" s="10">
        <f t="shared" si="48"/>
        <v>7.0000000000000007E-2</v>
      </c>
      <c r="Q281" s="9">
        <f t="shared" si="49"/>
        <v>14700.000000000002</v>
      </c>
      <c r="R281" s="9">
        <f t="shared" si="50"/>
        <v>195300</v>
      </c>
      <c r="S281" s="9" t="str">
        <f t="shared" si="51"/>
        <v>Profit</v>
      </c>
      <c r="T281" s="7" t="str">
        <f t="shared" si="52"/>
        <v>Jun</v>
      </c>
      <c r="U281" s="7">
        <f t="shared" si="53"/>
        <v>2025</v>
      </c>
      <c r="V281" s="7" t="str">
        <f t="shared" si="54"/>
        <v>25-30</v>
      </c>
    </row>
    <row r="282" spans="1:22" x14ac:dyDescent="0.3">
      <c r="A282" s="7" t="s">
        <v>299</v>
      </c>
      <c r="B282" s="8" t="s">
        <v>1303</v>
      </c>
      <c r="C282" s="8">
        <v>60</v>
      </c>
      <c r="D282" s="8" t="s">
        <v>721</v>
      </c>
      <c r="E282" s="8" t="s">
        <v>722</v>
      </c>
      <c r="F282" s="7" t="s">
        <v>731</v>
      </c>
      <c r="G282" s="7" t="s">
        <v>804</v>
      </c>
      <c r="H282" s="7" t="s">
        <v>776</v>
      </c>
      <c r="I282" s="7" t="s">
        <v>883</v>
      </c>
      <c r="J282" s="7">
        <f t="shared" si="44"/>
        <v>5</v>
      </c>
      <c r="K282" s="9">
        <f t="shared" si="45"/>
        <v>60000</v>
      </c>
      <c r="L282" s="7">
        <v>1</v>
      </c>
      <c r="M282" s="9">
        <f t="shared" si="46"/>
        <v>60000</v>
      </c>
      <c r="N282" s="9">
        <f t="shared" si="47"/>
        <v>39000</v>
      </c>
      <c r="O282" s="7" t="s">
        <v>1007</v>
      </c>
      <c r="P282" s="10">
        <f t="shared" si="48"/>
        <v>0</v>
      </c>
      <c r="Q282" s="9">
        <f t="shared" si="49"/>
        <v>0</v>
      </c>
      <c r="R282" s="9">
        <f t="shared" si="50"/>
        <v>5000</v>
      </c>
      <c r="S282" s="9" t="str">
        <f t="shared" si="51"/>
        <v>Loss</v>
      </c>
      <c r="T282" s="7" t="str">
        <f t="shared" si="52"/>
        <v>May</v>
      </c>
      <c r="U282" s="7">
        <f t="shared" si="53"/>
        <v>2025</v>
      </c>
      <c r="V282" s="7" t="str">
        <f t="shared" si="54"/>
        <v>60-65</v>
      </c>
    </row>
    <row r="283" spans="1:22" x14ac:dyDescent="0.3">
      <c r="A283" s="7" t="s">
        <v>300</v>
      </c>
      <c r="B283" s="8" t="s">
        <v>1304</v>
      </c>
      <c r="C283" s="8">
        <v>30</v>
      </c>
      <c r="D283" s="8" t="s">
        <v>720</v>
      </c>
      <c r="E283" s="8" t="s">
        <v>725</v>
      </c>
      <c r="F283" s="7" t="s">
        <v>735</v>
      </c>
      <c r="G283" s="7" t="s">
        <v>764</v>
      </c>
      <c r="H283" s="7" t="s">
        <v>753</v>
      </c>
      <c r="I283" s="7" t="s">
        <v>900</v>
      </c>
      <c r="J283" s="7">
        <f t="shared" si="44"/>
        <v>8</v>
      </c>
      <c r="K283" s="9">
        <f t="shared" si="45"/>
        <v>80000</v>
      </c>
      <c r="L283" s="7">
        <v>2</v>
      </c>
      <c r="M283" s="9">
        <f t="shared" si="46"/>
        <v>160000</v>
      </c>
      <c r="N283" s="9">
        <f t="shared" si="47"/>
        <v>96000</v>
      </c>
      <c r="O283" s="7" t="s">
        <v>1007</v>
      </c>
      <c r="P283" s="10">
        <f t="shared" si="48"/>
        <v>0</v>
      </c>
      <c r="Q283" s="9">
        <f t="shared" si="49"/>
        <v>0</v>
      </c>
      <c r="R283" s="9">
        <f t="shared" si="50"/>
        <v>5000</v>
      </c>
      <c r="S283" s="9" t="str">
        <f t="shared" si="51"/>
        <v>Loss</v>
      </c>
      <c r="T283" s="7" t="str">
        <f t="shared" si="52"/>
        <v>Jul</v>
      </c>
      <c r="U283" s="7">
        <f t="shared" si="53"/>
        <v>2025</v>
      </c>
      <c r="V283" s="7" t="str">
        <f t="shared" si="54"/>
        <v>30-35</v>
      </c>
    </row>
    <row r="284" spans="1:22" x14ac:dyDescent="0.3">
      <c r="A284" s="7" t="s">
        <v>301</v>
      </c>
      <c r="B284" s="8" t="s">
        <v>1305</v>
      </c>
      <c r="C284" s="8">
        <v>25</v>
      </c>
      <c r="D284" s="8" t="s">
        <v>721</v>
      </c>
      <c r="E284" s="8" t="s">
        <v>725</v>
      </c>
      <c r="F284" s="7" t="s">
        <v>727</v>
      </c>
      <c r="G284" s="7" t="s">
        <v>798</v>
      </c>
      <c r="H284" s="7" t="s">
        <v>896</v>
      </c>
      <c r="I284" s="7" t="s">
        <v>760</v>
      </c>
      <c r="J284" s="7">
        <f t="shared" si="44"/>
        <v>8</v>
      </c>
      <c r="K284" s="9">
        <f t="shared" si="45"/>
        <v>80000</v>
      </c>
      <c r="L284" s="7">
        <v>2</v>
      </c>
      <c r="M284" s="9">
        <f t="shared" si="46"/>
        <v>160000</v>
      </c>
      <c r="N284" s="9">
        <f t="shared" si="47"/>
        <v>96000</v>
      </c>
      <c r="O284" s="7" t="s">
        <v>1007</v>
      </c>
      <c r="P284" s="10">
        <f t="shared" si="48"/>
        <v>0</v>
      </c>
      <c r="Q284" s="9">
        <f t="shared" si="49"/>
        <v>0</v>
      </c>
      <c r="R284" s="9">
        <f t="shared" si="50"/>
        <v>5000</v>
      </c>
      <c r="S284" s="9" t="str">
        <f t="shared" si="51"/>
        <v>Loss</v>
      </c>
      <c r="T284" s="7" t="str">
        <f t="shared" si="52"/>
        <v>Feb</v>
      </c>
      <c r="U284" s="7">
        <f t="shared" si="53"/>
        <v>2025</v>
      </c>
      <c r="V284" s="7" t="str">
        <f t="shared" si="54"/>
        <v>25-30</v>
      </c>
    </row>
    <row r="285" spans="1:22" x14ac:dyDescent="0.3">
      <c r="A285" s="7" t="s">
        <v>302</v>
      </c>
      <c r="B285" s="8" t="s">
        <v>1306</v>
      </c>
      <c r="C285" s="8">
        <v>29</v>
      </c>
      <c r="D285" s="8" t="s">
        <v>720</v>
      </c>
      <c r="E285" s="8" t="s">
        <v>725</v>
      </c>
      <c r="F285" s="7" t="s">
        <v>727</v>
      </c>
      <c r="G285" s="7" t="s">
        <v>896</v>
      </c>
      <c r="H285" s="7" t="s">
        <v>983</v>
      </c>
      <c r="I285" s="7" t="s">
        <v>884</v>
      </c>
      <c r="J285" s="7">
        <f t="shared" si="44"/>
        <v>8</v>
      </c>
      <c r="K285" s="9">
        <f t="shared" si="45"/>
        <v>80000</v>
      </c>
      <c r="L285" s="7">
        <v>2</v>
      </c>
      <c r="M285" s="9">
        <f t="shared" si="46"/>
        <v>160000</v>
      </c>
      <c r="N285" s="9">
        <f t="shared" si="47"/>
        <v>96000</v>
      </c>
      <c r="O285" s="7" t="s">
        <v>1006</v>
      </c>
      <c r="P285" s="10">
        <f t="shared" si="48"/>
        <v>0.12</v>
      </c>
      <c r="Q285" s="9">
        <f t="shared" si="49"/>
        <v>19200</v>
      </c>
      <c r="R285" s="9">
        <f t="shared" si="50"/>
        <v>140800</v>
      </c>
      <c r="S285" s="9" t="str">
        <f t="shared" si="51"/>
        <v>Profit</v>
      </c>
      <c r="T285" s="7" t="str">
        <f t="shared" si="52"/>
        <v>Mar</v>
      </c>
      <c r="U285" s="7">
        <f t="shared" si="53"/>
        <v>2025</v>
      </c>
      <c r="V285" s="7" t="str">
        <f t="shared" si="54"/>
        <v>25-30</v>
      </c>
    </row>
    <row r="286" spans="1:22" x14ac:dyDescent="0.3">
      <c r="A286" s="7" t="s">
        <v>303</v>
      </c>
      <c r="B286" s="8" t="s">
        <v>1307</v>
      </c>
      <c r="C286" s="8">
        <v>56</v>
      </c>
      <c r="D286" s="8" t="s">
        <v>721</v>
      </c>
      <c r="E286" s="8" t="s">
        <v>724</v>
      </c>
      <c r="F286" s="7" t="s">
        <v>734</v>
      </c>
      <c r="G286" s="7" t="s">
        <v>897</v>
      </c>
      <c r="H286" s="7" t="s">
        <v>915</v>
      </c>
      <c r="I286" s="7" t="s">
        <v>892</v>
      </c>
      <c r="J286" s="7">
        <f t="shared" si="44"/>
        <v>10</v>
      </c>
      <c r="K286" s="9">
        <f t="shared" si="45"/>
        <v>120000</v>
      </c>
      <c r="L286" s="7">
        <v>3</v>
      </c>
      <c r="M286" s="9">
        <f t="shared" si="46"/>
        <v>360000</v>
      </c>
      <c r="N286" s="9">
        <f t="shared" si="47"/>
        <v>234000</v>
      </c>
      <c r="O286" s="7" t="s">
        <v>1006</v>
      </c>
      <c r="P286" s="10">
        <f t="shared" si="48"/>
        <v>0.15</v>
      </c>
      <c r="Q286" s="9">
        <f t="shared" si="49"/>
        <v>54000</v>
      </c>
      <c r="R286" s="9">
        <f t="shared" si="50"/>
        <v>306000</v>
      </c>
      <c r="S286" s="9" t="str">
        <f t="shared" si="51"/>
        <v>Profit</v>
      </c>
      <c r="T286" s="7" t="str">
        <f t="shared" si="52"/>
        <v>Feb</v>
      </c>
      <c r="U286" s="7">
        <f t="shared" si="53"/>
        <v>2025</v>
      </c>
      <c r="V286" s="7" t="str">
        <f t="shared" si="54"/>
        <v>55-60</v>
      </c>
    </row>
    <row r="287" spans="1:22" x14ac:dyDescent="0.3">
      <c r="A287" s="7" t="s">
        <v>304</v>
      </c>
      <c r="B287" s="8" t="s">
        <v>1308</v>
      </c>
      <c r="C287" s="8">
        <v>51</v>
      </c>
      <c r="D287" s="8" t="s">
        <v>720</v>
      </c>
      <c r="E287" s="8" t="s">
        <v>726</v>
      </c>
      <c r="F287" s="7" t="s">
        <v>1728</v>
      </c>
      <c r="G287" s="7" t="s">
        <v>898</v>
      </c>
      <c r="H287" s="7" t="s">
        <v>973</v>
      </c>
      <c r="I287" s="7" t="s">
        <v>985</v>
      </c>
      <c r="J287" s="7">
        <f t="shared" si="44"/>
        <v>4</v>
      </c>
      <c r="K287" s="9">
        <f t="shared" si="45"/>
        <v>18000</v>
      </c>
      <c r="L287" s="7">
        <v>2</v>
      </c>
      <c r="M287" s="9">
        <f t="shared" si="46"/>
        <v>36000</v>
      </c>
      <c r="N287" s="9">
        <f t="shared" si="47"/>
        <v>18000</v>
      </c>
      <c r="O287" s="7" t="s">
        <v>1007</v>
      </c>
      <c r="P287" s="10">
        <f t="shared" si="48"/>
        <v>0</v>
      </c>
      <c r="Q287" s="9">
        <f t="shared" si="49"/>
        <v>0</v>
      </c>
      <c r="R287" s="9">
        <f t="shared" si="50"/>
        <v>5000</v>
      </c>
      <c r="S287" s="9" t="str">
        <f t="shared" si="51"/>
        <v>Loss</v>
      </c>
      <c r="T287" s="7" t="str">
        <f t="shared" si="52"/>
        <v>Aug</v>
      </c>
      <c r="U287" s="7">
        <f t="shared" si="53"/>
        <v>2025</v>
      </c>
      <c r="V287" s="7" t="str">
        <f t="shared" si="54"/>
        <v>50-55</v>
      </c>
    </row>
    <row r="288" spans="1:22" x14ac:dyDescent="0.3">
      <c r="A288" s="7" t="s">
        <v>305</v>
      </c>
      <c r="B288" s="8" t="s">
        <v>1309</v>
      </c>
      <c r="C288" s="8">
        <v>25</v>
      </c>
      <c r="D288" s="8" t="s">
        <v>721</v>
      </c>
      <c r="E288" s="8" t="s">
        <v>722</v>
      </c>
      <c r="F288" s="7" t="s">
        <v>733</v>
      </c>
      <c r="G288" s="7" t="s">
        <v>899</v>
      </c>
      <c r="H288" s="7" t="s">
        <v>974</v>
      </c>
      <c r="I288" s="7" t="s">
        <v>1001</v>
      </c>
      <c r="J288" s="7">
        <f t="shared" si="44"/>
        <v>5</v>
      </c>
      <c r="K288" s="9">
        <f t="shared" si="45"/>
        <v>60000</v>
      </c>
      <c r="L288" s="7">
        <v>2</v>
      </c>
      <c r="M288" s="9">
        <f t="shared" si="46"/>
        <v>120000</v>
      </c>
      <c r="N288" s="9">
        <f t="shared" si="47"/>
        <v>78000</v>
      </c>
      <c r="O288" s="7" t="s">
        <v>1007</v>
      </c>
      <c r="P288" s="10">
        <f t="shared" si="48"/>
        <v>0</v>
      </c>
      <c r="Q288" s="9">
        <f t="shared" si="49"/>
        <v>0</v>
      </c>
      <c r="R288" s="9">
        <f t="shared" si="50"/>
        <v>5000</v>
      </c>
      <c r="S288" s="9" t="str">
        <f t="shared" si="51"/>
        <v>Loss</v>
      </c>
      <c r="T288" s="7" t="str">
        <f t="shared" si="52"/>
        <v>Aug</v>
      </c>
      <c r="U288" s="7">
        <f t="shared" si="53"/>
        <v>2025</v>
      </c>
      <c r="V288" s="7" t="str">
        <f t="shared" si="54"/>
        <v>25-30</v>
      </c>
    </row>
    <row r="289" spans="1:22" x14ac:dyDescent="0.3">
      <c r="A289" s="7" t="s">
        <v>306</v>
      </c>
      <c r="B289" s="8" t="s">
        <v>1310</v>
      </c>
      <c r="C289" s="8">
        <v>30</v>
      </c>
      <c r="D289" s="8" t="s">
        <v>720</v>
      </c>
      <c r="E289" s="8" t="s">
        <v>725</v>
      </c>
      <c r="F289" s="7" t="s">
        <v>1730</v>
      </c>
      <c r="G289" s="7" t="s">
        <v>900</v>
      </c>
      <c r="H289" s="7" t="s">
        <v>866</v>
      </c>
      <c r="I289" s="7" t="s">
        <v>830</v>
      </c>
      <c r="J289" s="7">
        <f t="shared" si="44"/>
        <v>8</v>
      </c>
      <c r="K289" s="9">
        <f t="shared" si="45"/>
        <v>80000</v>
      </c>
      <c r="L289" s="7">
        <v>4</v>
      </c>
      <c r="M289" s="9">
        <f t="shared" si="46"/>
        <v>320000</v>
      </c>
      <c r="N289" s="9">
        <f t="shared" si="47"/>
        <v>192000</v>
      </c>
      <c r="O289" s="7" t="s">
        <v>1006</v>
      </c>
      <c r="P289" s="10">
        <f t="shared" si="48"/>
        <v>0.12</v>
      </c>
      <c r="Q289" s="9">
        <f t="shared" si="49"/>
        <v>38400</v>
      </c>
      <c r="R289" s="9">
        <f t="shared" si="50"/>
        <v>281600</v>
      </c>
      <c r="S289" s="9" t="str">
        <f t="shared" si="51"/>
        <v>Profit</v>
      </c>
      <c r="T289" s="7" t="str">
        <f t="shared" si="52"/>
        <v>Aug</v>
      </c>
      <c r="U289" s="7">
        <f t="shared" si="53"/>
        <v>2025</v>
      </c>
      <c r="V289" s="7" t="str">
        <f t="shared" si="54"/>
        <v>30-35</v>
      </c>
    </row>
    <row r="290" spans="1:22" x14ac:dyDescent="0.3">
      <c r="A290" s="7" t="s">
        <v>307</v>
      </c>
      <c r="B290" s="8" t="s">
        <v>1311</v>
      </c>
      <c r="C290" s="8">
        <v>55</v>
      </c>
      <c r="D290" s="8" t="s">
        <v>720</v>
      </c>
      <c r="E290" s="8" t="s">
        <v>723</v>
      </c>
      <c r="F290" s="7" t="s">
        <v>733</v>
      </c>
      <c r="G290" s="7" t="s">
        <v>827</v>
      </c>
      <c r="H290" s="7" t="s">
        <v>742</v>
      </c>
      <c r="I290" s="7" t="s">
        <v>746</v>
      </c>
      <c r="J290" s="7">
        <f t="shared" si="44"/>
        <v>7</v>
      </c>
      <c r="K290" s="9">
        <f t="shared" si="45"/>
        <v>70000</v>
      </c>
      <c r="L290" s="7">
        <v>2</v>
      </c>
      <c r="M290" s="9">
        <f t="shared" si="46"/>
        <v>140000</v>
      </c>
      <c r="N290" s="9">
        <f t="shared" si="47"/>
        <v>84000</v>
      </c>
      <c r="O290" s="7" t="s">
        <v>1006</v>
      </c>
      <c r="P290" s="10">
        <f t="shared" si="48"/>
        <v>7.0000000000000007E-2</v>
      </c>
      <c r="Q290" s="9">
        <f t="shared" si="49"/>
        <v>9800.0000000000018</v>
      </c>
      <c r="R290" s="9">
        <f t="shared" si="50"/>
        <v>130200</v>
      </c>
      <c r="S290" s="9" t="str">
        <f t="shared" si="51"/>
        <v>Profit</v>
      </c>
      <c r="T290" s="7" t="str">
        <f t="shared" si="52"/>
        <v>Apr</v>
      </c>
      <c r="U290" s="7">
        <f t="shared" si="53"/>
        <v>2025</v>
      </c>
      <c r="V290" s="7" t="str">
        <f t="shared" si="54"/>
        <v>55-60</v>
      </c>
    </row>
    <row r="291" spans="1:22" x14ac:dyDescent="0.3">
      <c r="A291" s="7" t="s">
        <v>308</v>
      </c>
      <c r="B291" s="8" t="s">
        <v>1312</v>
      </c>
      <c r="C291" s="8">
        <v>39</v>
      </c>
      <c r="D291" s="8" t="s">
        <v>721</v>
      </c>
      <c r="E291" s="8" t="s">
        <v>722</v>
      </c>
      <c r="F291" s="7" t="s">
        <v>1730</v>
      </c>
      <c r="G291" s="7" t="s">
        <v>836</v>
      </c>
      <c r="H291" s="7" t="s">
        <v>984</v>
      </c>
      <c r="I291" s="7" t="s">
        <v>929</v>
      </c>
      <c r="J291" s="7">
        <f t="shared" si="44"/>
        <v>5</v>
      </c>
      <c r="K291" s="9">
        <f t="shared" si="45"/>
        <v>60000</v>
      </c>
      <c r="L291" s="7">
        <v>2</v>
      </c>
      <c r="M291" s="9">
        <f t="shared" si="46"/>
        <v>120000</v>
      </c>
      <c r="N291" s="9">
        <f t="shared" si="47"/>
        <v>78000</v>
      </c>
      <c r="O291" s="7" t="s">
        <v>1007</v>
      </c>
      <c r="P291" s="10">
        <f t="shared" si="48"/>
        <v>0</v>
      </c>
      <c r="Q291" s="9">
        <f t="shared" si="49"/>
        <v>0</v>
      </c>
      <c r="R291" s="9">
        <f t="shared" si="50"/>
        <v>5000</v>
      </c>
      <c r="S291" s="9" t="str">
        <f t="shared" si="51"/>
        <v>Loss</v>
      </c>
      <c r="T291" s="7" t="str">
        <f t="shared" si="52"/>
        <v>Jul</v>
      </c>
      <c r="U291" s="7">
        <f t="shared" si="53"/>
        <v>2025</v>
      </c>
      <c r="V291" s="7" t="str">
        <f t="shared" si="54"/>
        <v>35-40</v>
      </c>
    </row>
    <row r="292" spans="1:22" x14ac:dyDescent="0.3">
      <c r="A292" s="7" t="s">
        <v>309</v>
      </c>
      <c r="B292" s="8" t="s">
        <v>1313</v>
      </c>
      <c r="C292" s="8">
        <v>52</v>
      </c>
      <c r="D292" s="8" t="s">
        <v>720</v>
      </c>
      <c r="E292" s="8" t="s">
        <v>724</v>
      </c>
      <c r="F292" s="7" t="s">
        <v>730</v>
      </c>
      <c r="G292" s="7" t="s">
        <v>736</v>
      </c>
      <c r="H292" s="7" t="s">
        <v>913</v>
      </c>
      <c r="I292" s="7" t="s">
        <v>949</v>
      </c>
      <c r="J292" s="7">
        <f t="shared" si="44"/>
        <v>10</v>
      </c>
      <c r="K292" s="9">
        <f t="shared" si="45"/>
        <v>120000</v>
      </c>
      <c r="L292" s="7">
        <v>3</v>
      </c>
      <c r="M292" s="9">
        <f t="shared" si="46"/>
        <v>360000</v>
      </c>
      <c r="N292" s="9">
        <f t="shared" si="47"/>
        <v>234000</v>
      </c>
      <c r="O292" s="7" t="s">
        <v>1007</v>
      </c>
      <c r="P292" s="10">
        <f t="shared" si="48"/>
        <v>0</v>
      </c>
      <c r="Q292" s="9">
        <f t="shared" si="49"/>
        <v>0</v>
      </c>
      <c r="R292" s="9">
        <f t="shared" si="50"/>
        <v>5000</v>
      </c>
      <c r="S292" s="9" t="str">
        <f t="shared" si="51"/>
        <v>Loss</v>
      </c>
      <c r="T292" s="7" t="str">
        <f t="shared" si="52"/>
        <v>Jul</v>
      </c>
      <c r="U292" s="7">
        <f t="shared" si="53"/>
        <v>2025</v>
      </c>
      <c r="V292" s="7" t="str">
        <f t="shared" si="54"/>
        <v>50-55</v>
      </c>
    </row>
    <row r="293" spans="1:22" x14ac:dyDescent="0.3">
      <c r="A293" s="7" t="s">
        <v>310</v>
      </c>
      <c r="B293" s="8" t="s">
        <v>1314</v>
      </c>
      <c r="C293" s="8">
        <v>49</v>
      </c>
      <c r="D293" s="8" t="s">
        <v>720</v>
      </c>
      <c r="E293" s="8" t="s">
        <v>723</v>
      </c>
      <c r="F293" s="7" t="s">
        <v>735</v>
      </c>
      <c r="G293" s="7" t="s">
        <v>867</v>
      </c>
      <c r="H293" s="7" t="s">
        <v>956</v>
      </c>
      <c r="I293" s="7" t="s">
        <v>960</v>
      </c>
      <c r="J293" s="7">
        <f t="shared" si="44"/>
        <v>7</v>
      </c>
      <c r="K293" s="9">
        <f t="shared" si="45"/>
        <v>70000</v>
      </c>
      <c r="L293" s="7">
        <v>4</v>
      </c>
      <c r="M293" s="9">
        <f t="shared" si="46"/>
        <v>280000</v>
      </c>
      <c r="N293" s="9">
        <f t="shared" si="47"/>
        <v>168000</v>
      </c>
      <c r="O293" s="7" t="s">
        <v>1006</v>
      </c>
      <c r="P293" s="10">
        <f t="shared" si="48"/>
        <v>7.0000000000000007E-2</v>
      </c>
      <c r="Q293" s="9">
        <f t="shared" si="49"/>
        <v>19600.000000000004</v>
      </c>
      <c r="R293" s="9">
        <f t="shared" si="50"/>
        <v>260400</v>
      </c>
      <c r="S293" s="9" t="str">
        <f t="shared" si="51"/>
        <v>Profit</v>
      </c>
      <c r="T293" s="7" t="str">
        <f t="shared" si="52"/>
        <v>Mar</v>
      </c>
      <c r="U293" s="7">
        <f t="shared" si="53"/>
        <v>2025</v>
      </c>
      <c r="V293" s="7" t="str">
        <f t="shared" si="54"/>
        <v>45-50</v>
      </c>
    </row>
    <row r="294" spans="1:22" x14ac:dyDescent="0.3">
      <c r="A294" s="7" t="s">
        <v>311</v>
      </c>
      <c r="B294" s="8" t="s">
        <v>1315</v>
      </c>
      <c r="C294" s="8">
        <v>40</v>
      </c>
      <c r="D294" s="8" t="s">
        <v>720</v>
      </c>
      <c r="E294" s="8" t="s">
        <v>724</v>
      </c>
      <c r="F294" s="7" t="s">
        <v>735</v>
      </c>
      <c r="G294" s="7" t="s">
        <v>855</v>
      </c>
      <c r="H294" s="7" t="s">
        <v>907</v>
      </c>
      <c r="I294" s="7" t="s">
        <v>912</v>
      </c>
      <c r="J294" s="7">
        <f t="shared" si="44"/>
        <v>10</v>
      </c>
      <c r="K294" s="9">
        <f t="shared" si="45"/>
        <v>120000</v>
      </c>
      <c r="L294" s="7">
        <v>2</v>
      </c>
      <c r="M294" s="9">
        <f t="shared" si="46"/>
        <v>240000</v>
      </c>
      <c r="N294" s="9">
        <f t="shared" si="47"/>
        <v>156000</v>
      </c>
      <c r="O294" s="7" t="s">
        <v>1007</v>
      </c>
      <c r="P294" s="10">
        <f t="shared" si="48"/>
        <v>0</v>
      </c>
      <c r="Q294" s="9">
        <f t="shared" si="49"/>
        <v>0</v>
      </c>
      <c r="R294" s="9">
        <f t="shared" si="50"/>
        <v>5000</v>
      </c>
      <c r="S294" s="9" t="str">
        <f t="shared" si="51"/>
        <v>Loss</v>
      </c>
      <c r="T294" s="7" t="str">
        <f t="shared" si="52"/>
        <v>Mar</v>
      </c>
      <c r="U294" s="7">
        <f t="shared" si="53"/>
        <v>2025</v>
      </c>
      <c r="V294" s="7" t="str">
        <f t="shared" si="54"/>
        <v>40-45</v>
      </c>
    </row>
    <row r="295" spans="1:22" x14ac:dyDescent="0.3">
      <c r="A295" s="7" t="s">
        <v>312</v>
      </c>
      <c r="B295" s="8" t="s">
        <v>1316</v>
      </c>
      <c r="C295" s="8">
        <v>48</v>
      </c>
      <c r="D295" s="8" t="s">
        <v>721</v>
      </c>
      <c r="E295" s="8" t="s">
        <v>724</v>
      </c>
      <c r="F295" s="7" t="s">
        <v>734</v>
      </c>
      <c r="G295" s="7" t="s">
        <v>844</v>
      </c>
      <c r="H295" s="7" t="s">
        <v>743</v>
      </c>
      <c r="I295" s="7" t="s">
        <v>786</v>
      </c>
      <c r="J295" s="7">
        <f t="shared" si="44"/>
        <v>10</v>
      </c>
      <c r="K295" s="9">
        <f t="shared" si="45"/>
        <v>120000</v>
      </c>
      <c r="L295" s="7">
        <v>4</v>
      </c>
      <c r="M295" s="9">
        <f t="shared" si="46"/>
        <v>480000</v>
      </c>
      <c r="N295" s="9">
        <f t="shared" si="47"/>
        <v>312000</v>
      </c>
      <c r="O295" s="7" t="s">
        <v>1006</v>
      </c>
      <c r="P295" s="10">
        <f t="shared" si="48"/>
        <v>0.15</v>
      </c>
      <c r="Q295" s="9">
        <f t="shared" si="49"/>
        <v>72000</v>
      </c>
      <c r="R295" s="9">
        <f t="shared" si="50"/>
        <v>408000</v>
      </c>
      <c r="S295" s="9" t="str">
        <f t="shared" si="51"/>
        <v>Profit</v>
      </c>
      <c r="T295" s="7" t="str">
        <f t="shared" si="52"/>
        <v>Jun</v>
      </c>
      <c r="U295" s="7">
        <f t="shared" si="53"/>
        <v>2025</v>
      </c>
      <c r="V295" s="7" t="str">
        <f t="shared" si="54"/>
        <v>45-50</v>
      </c>
    </row>
    <row r="296" spans="1:22" x14ac:dyDescent="0.3">
      <c r="A296" s="7" t="s">
        <v>313</v>
      </c>
      <c r="B296" s="8" t="s">
        <v>1317</v>
      </c>
      <c r="C296" s="8">
        <v>43</v>
      </c>
      <c r="D296" s="8" t="s">
        <v>720</v>
      </c>
      <c r="E296" s="8" t="s">
        <v>722</v>
      </c>
      <c r="F296" s="7" t="s">
        <v>730</v>
      </c>
      <c r="G296" s="7" t="s">
        <v>839</v>
      </c>
      <c r="H296" s="7" t="s">
        <v>985</v>
      </c>
      <c r="I296" s="7" t="s">
        <v>991</v>
      </c>
      <c r="J296" s="7">
        <f t="shared" si="44"/>
        <v>5</v>
      </c>
      <c r="K296" s="9">
        <f t="shared" si="45"/>
        <v>60000</v>
      </c>
      <c r="L296" s="7">
        <v>3</v>
      </c>
      <c r="M296" s="9">
        <f t="shared" si="46"/>
        <v>180000</v>
      </c>
      <c r="N296" s="9">
        <f t="shared" si="47"/>
        <v>117000</v>
      </c>
      <c r="O296" s="7" t="s">
        <v>1007</v>
      </c>
      <c r="P296" s="10">
        <f t="shared" si="48"/>
        <v>0</v>
      </c>
      <c r="Q296" s="9">
        <f t="shared" si="49"/>
        <v>0</v>
      </c>
      <c r="R296" s="9">
        <f t="shared" si="50"/>
        <v>5000</v>
      </c>
      <c r="S296" s="9" t="str">
        <f t="shared" si="51"/>
        <v>Loss</v>
      </c>
      <c r="T296" s="7" t="str">
        <f t="shared" si="52"/>
        <v>Aug</v>
      </c>
      <c r="U296" s="7">
        <f t="shared" si="53"/>
        <v>2025</v>
      </c>
      <c r="V296" s="7" t="str">
        <f t="shared" si="54"/>
        <v>40-45</v>
      </c>
    </row>
    <row r="297" spans="1:22" x14ac:dyDescent="0.3">
      <c r="A297" s="7" t="s">
        <v>314</v>
      </c>
      <c r="B297" s="8" t="s">
        <v>1318</v>
      </c>
      <c r="C297" s="8">
        <v>44</v>
      </c>
      <c r="D297" s="8" t="s">
        <v>720</v>
      </c>
      <c r="E297" s="8" t="s">
        <v>726</v>
      </c>
      <c r="F297" s="7" t="s">
        <v>1731</v>
      </c>
      <c r="G297" s="7" t="s">
        <v>820</v>
      </c>
      <c r="H297" s="7" t="s">
        <v>818</v>
      </c>
      <c r="I297" s="7" t="s">
        <v>979</v>
      </c>
      <c r="J297" s="7">
        <f t="shared" si="44"/>
        <v>4</v>
      </c>
      <c r="K297" s="9">
        <f t="shared" si="45"/>
        <v>18000</v>
      </c>
      <c r="L297" s="7">
        <v>1</v>
      </c>
      <c r="M297" s="9">
        <f t="shared" si="46"/>
        <v>18000</v>
      </c>
      <c r="N297" s="9">
        <f t="shared" si="47"/>
        <v>9000</v>
      </c>
      <c r="O297" s="7" t="s">
        <v>1007</v>
      </c>
      <c r="P297" s="10">
        <f t="shared" si="48"/>
        <v>0</v>
      </c>
      <c r="Q297" s="9">
        <f t="shared" si="49"/>
        <v>0</v>
      </c>
      <c r="R297" s="9">
        <f t="shared" si="50"/>
        <v>5000</v>
      </c>
      <c r="S297" s="9" t="str">
        <f t="shared" si="51"/>
        <v>Loss</v>
      </c>
      <c r="T297" s="7" t="str">
        <f t="shared" si="52"/>
        <v>May</v>
      </c>
      <c r="U297" s="7">
        <f t="shared" si="53"/>
        <v>2025</v>
      </c>
      <c r="V297" s="7" t="str">
        <f t="shared" si="54"/>
        <v>40-45</v>
      </c>
    </row>
    <row r="298" spans="1:22" x14ac:dyDescent="0.3">
      <c r="A298" s="7" t="s">
        <v>315</v>
      </c>
      <c r="B298" s="8" t="s">
        <v>1319</v>
      </c>
      <c r="C298" s="8">
        <v>46</v>
      </c>
      <c r="D298" s="8" t="s">
        <v>720</v>
      </c>
      <c r="E298" s="8" t="s">
        <v>723</v>
      </c>
      <c r="F298" s="7" t="s">
        <v>729</v>
      </c>
      <c r="G298" s="7" t="s">
        <v>901</v>
      </c>
      <c r="H298" s="7" t="s">
        <v>985</v>
      </c>
      <c r="I298" s="7" t="s">
        <v>993</v>
      </c>
      <c r="J298" s="7">
        <f t="shared" si="44"/>
        <v>7</v>
      </c>
      <c r="K298" s="9">
        <f t="shared" si="45"/>
        <v>70000</v>
      </c>
      <c r="L298" s="7">
        <v>1</v>
      </c>
      <c r="M298" s="9">
        <f t="shared" si="46"/>
        <v>70000</v>
      </c>
      <c r="N298" s="9">
        <f t="shared" si="47"/>
        <v>42000</v>
      </c>
      <c r="O298" s="7" t="s">
        <v>1006</v>
      </c>
      <c r="P298" s="10">
        <f t="shared" si="48"/>
        <v>7.0000000000000007E-2</v>
      </c>
      <c r="Q298" s="9">
        <f t="shared" si="49"/>
        <v>4900.0000000000009</v>
      </c>
      <c r="R298" s="9">
        <f t="shared" si="50"/>
        <v>65100</v>
      </c>
      <c r="S298" s="9" t="str">
        <f t="shared" si="51"/>
        <v>Profit</v>
      </c>
      <c r="T298" s="7" t="str">
        <f t="shared" si="52"/>
        <v>Aug</v>
      </c>
      <c r="U298" s="7">
        <f t="shared" si="53"/>
        <v>2025</v>
      </c>
      <c r="V298" s="7" t="str">
        <f t="shared" si="54"/>
        <v>45-50</v>
      </c>
    </row>
    <row r="299" spans="1:22" x14ac:dyDescent="0.3">
      <c r="A299" s="7" t="s">
        <v>316</v>
      </c>
      <c r="B299" s="8" t="s">
        <v>1320</v>
      </c>
      <c r="C299" s="8">
        <v>27</v>
      </c>
      <c r="D299" s="8" t="s">
        <v>720</v>
      </c>
      <c r="E299" s="8" t="s">
        <v>725</v>
      </c>
      <c r="F299" s="7" t="s">
        <v>730</v>
      </c>
      <c r="G299" s="7" t="s">
        <v>902</v>
      </c>
      <c r="H299" s="7" t="s">
        <v>986</v>
      </c>
      <c r="I299" s="7" t="s">
        <v>823</v>
      </c>
      <c r="J299" s="7">
        <f t="shared" si="44"/>
        <v>8</v>
      </c>
      <c r="K299" s="9">
        <f t="shared" si="45"/>
        <v>80000</v>
      </c>
      <c r="L299" s="7">
        <v>4</v>
      </c>
      <c r="M299" s="9">
        <f t="shared" si="46"/>
        <v>320000</v>
      </c>
      <c r="N299" s="9">
        <f t="shared" si="47"/>
        <v>192000</v>
      </c>
      <c r="O299" s="7" t="s">
        <v>1006</v>
      </c>
      <c r="P299" s="10">
        <f t="shared" si="48"/>
        <v>0.12</v>
      </c>
      <c r="Q299" s="9">
        <f t="shared" si="49"/>
        <v>38400</v>
      </c>
      <c r="R299" s="9">
        <f t="shared" si="50"/>
        <v>281600</v>
      </c>
      <c r="S299" s="9" t="str">
        <f t="shared" si="51"/>
        <v>Profit</v>
      </c>
      <c r="T299" s="7" t="str">
        <f t="shared" si="52"/>
        <v>Jan</v>
      </c>
      <c r="U299" s="7">
        <f t="shared" si="53"/>
        <v>2025</v>
      </c>
      <c r="V299" s="7" t="str">
        <f t="shared" si="54"/>
        <v>25-30</v>
      </c>
    </row>
    <row r="300" spans="1:22" x14ac:dyDescent="0.3">
      <c r="A300" s="7" t="s">
        <v>317</v>
      </c>
      <c r="B300" s="8" t="s">
        <v>1321</v>
      </c>
      <c r="C300" s="8">
        <v>40</v>
      </c>
      <c r="D300" s="8" t="s">
        <v>720</v>
      </c>
      <c r="E300" s="8" t="s">
        <v>723</v>
      </c>
      <c r="F300" s="7" t="s">
        <v>734</v>
      </c>
      <c r="G300" s="7" t="s">
        <v>773</v>
      </c>
      <c r="H300" s="7" t="s">
        <v>771</v>
      </c>
      <c r="I300" s="7" t="s">
        <v>754</v>
      </c>
      <c r="J300" s="7">
        <f t="shared" si="44"/>
        <v>7</v>
      </c>
      <c r="K300" s="9">
        <f t="shared" si="45"/>
        <v>70000</v>
      </c>
      <c r="L300" s="7">
        <v>4</v>
      </c>
      <c r="M300" s="9">
        <f t="shared" si="46"/>
        <v>280000</v>
      </c>
      <c r="N300" s="9">
        <f t="shared" si="47"/>
        <v>168000</v>
      </c>
      <c r="O300" s="7" t="s">
        <v>1006</v>
      </c>
      <c r="P300" s="10">
        <f t="shared" si="48"/>
        <v>7.0000000000000007E-2</v>
      </c>
      <c r="Q300" s="9">
        <f t="shared" si="49"/>
        <v>19600.000000000004</v>
      </c>
      <c r="R300" s="9">
        <f t="shared" si="50"/>
        <v>260400</v>
      </c>
      <c r="S300" s="9" t="str">
        <f t="shared" si="51"/>
        <v>Profit</v>
      </c>
      <c r="T300" s="7" t="str">
        <f t="shared" si="52"/>
        <v>Feb</v>
      </c>
      <c r="U300" s="7">
        <f t="shared" si="53"/>
        <v>2025</v>
      </c>
      <c r="V300" s="7" t="str">
        <f t="shared" si="54"/>
        <v>40-45</v>
      </c>
    </row>
    <row r="301" spans="1:22" x14ac:dyDescent="0.3">
      <c r="A301" s="7" t="s">
        <v>318</v>
      </c>
      <c r="B301" s="8" t="s">
        <v>1322</v>
      </c>
      <c r="C301" s="8">
        <v>57</v>
      </c>
      <c r="D301" s="8" t="s">
        <v>720</v>
      </c>
      <c r="E301" s="8" t="s">
        <v>724</v>
      </c>
      <c r="F301" s="7" t="s">
        <v>1736</v>
      </c>
      <c r="G301" s="7" t="s">
        <v>903</v>
      </c>
      <c r="H301" s="7" t="s">
        <v>824</v>
      </c>
      <c r="I301" s="7" t="s">
        <v>800</v>
      </c>
      <c r="J301" s="7">
        <f t="shared" si="44"/>
        <v>10</v>
      </c>
      <c r="K301" s="9">
        <f t="shared" si="45"/>
        <v>120000</v>
      </c>
      <c r="L301" s="7">
        <v>1</v>
      </c>
      <c r="M301" s="9">
        <f t="shared" si="46"/>
        <v>120000</v>
      </c>
      <c r="N301" s="9">
        <f t="shared" si="47"/>
        <v>78000</v>
      </c>
      <c r="O301" s="7" t="s">
        <v>1006</v>
      </c>
      <c r="P301" s="10">
        <f t="shared" si="48"/>
        <v>0.15</v>
      </c>
      <c r="Q301" s="9">
        <f t="shared" si="49"/>
        <v>18000</v>
      </c>
      <c r="R301" s="9">
        <f t="shared" si="50"/>
        <v>102000</v>
      </c>
      <c r="S301" s="9" t="str">
        <f t="shared" si="51"/>
        <v>Profit</v>
      </c>
      <c r="T301" s="7" t="str">
        <f t="shared" si="52"/>
        <v>May</v>
      </c>
      <c r="U301" s="7">
        <f t="shared" si="53"/>
        <v>2025</v>
      </c>
      <c r="V301" s="7" t="str">
        <f t="shared" si="54"/>
        <v>55-60</v>
      </c>
    </row>
    <row r="302" spans="1:22" x14ac:dyDescent="0.3">
      <c r="A302" s="7" t="s">
        <v>319</v>
      </c>
      <c r="B302" s="8" t="s">
        <v>1323</v>
      </c>
      <c r="C302" s="8">
        <v>29</v>
      </c>
      <c r="D302" s="8" t="s">
        <v>720</v>
      </c>
      <c r="E302" s="8" t="s">
        <v>725</v>
      </c>
      <c r="F302" s="7" t="s">
        <v>727</v>
      </c>
      <c r="G302" s="7" t="s">
        <v>836</v>
      </c>
      <c r="H302" s="7" t="s">
        <v>835</v>
      </c>
      <c r="I302" s="7" t="s">
        <v>830</v>
      </c>
      <c r="J302" s="7">
        <f t="shared" si="44"/>
        <v>8</v>
      </c>
      <c r="K302" s="9">
        <f t="shared" si="45"/>
        <v>80000</v>
      </c>
      <c r="L302" s="7">
        <v>2</v>
      </c>
      <c r="M302" s="9">
        <f t="shared" si="46"/>
        <v>160000</v>
      </c>
      <c r="N302" s="9">
        <f t="shared" si="47"/>
        <v>96000</v>
      </c>
      <c r="O302" s="7" t="s">
        <v>1007</v>
      </c>
      <c r="P302" s="10">
        <f t="shared" si="48"/>
        <v>0</v>
      </c>
      <c r="Q302" s="9">
        <f t="shared" si="49"/>
        <v>0</v>
      </c>
      <c r="R302" s="9">
        <f t="shared" si="50"/>
        <v>5000</v>
      </c>
      <c r="S302" s="9" t="str">
        <f t="shared" si="51"/>
        <v>Loss</v>
      </c>
      <c r="T302" s="7" t="str">
        <f t="shared" si="52"/>
        <v>Jul</v>
      </c>
      <c r="U302" s="7">
        <f t="shared" si="53"/>
        <v>2025</v>
      </c>
      <c r="V302" s="7" t="str">
        <f t="shared" si="54"/>
        <v>25-30</v>
      </c>
    </row>
    <row r="303" spans="1:22" x14ac:dyDescent="0.3">
      <c r="A303" s="7" t="s">
        <v>320</v>
      </c>
      <c r="B303" s="8" t="s">
        <v>1324</v>
      </c>
      <c r="C303" s="8">
        <v>23</v>
      </c>
      <c r="D303" s="8" t="s">
        <v>721</v>
      </c>
      <c r="E303" s="8" t="s">
        <v>725</v>
      </c>
      <c r="F303" s="7" t="s">
        <v>727</v>
      </c>
      <c r="G303" s="7" t="s">
        <v>904</v>
      </c>
      <c r="H303" s="7" t="s">
        <v>841</v>
      </c>
      <c r="I303" s="7" t="s">
        <v>976</v>
      </c>
      <c r="J303" s="7">
        <f t="shared" si="44"/>
        <v>8</v>
      </c>
      <c r="K303" s="9">
        <f t="shared" si="45"/>
        <v>80000</v>
      </c>
      <c r="L303" s="7">
        <v>2</v>
      </c>
      <c r="M303" s="9">
        <f t="shared" si="46"/>
        <v>160000</v>
      </c>
      <c r="N303" s="9">
        <f t="shared" si="47"/>
        <v>96000</v>
      </c>
      <c r="O303" s="7" t="s">
        <v>1007</v>
      </c>
      <c r="P303" s="10">
        <f t="shared" si="48"/>
        <v>0</v>
      </c>
      <c r="Q303" s="9">
        <f t="shared" si="49"/>
        <v>0</v>
      </c>
      <c r="R303" s="9">
        <f t="shared" si="50"/>
        <v>5000</v>
      </c>
      <c r="S303" s="9" t="str">
        <f t="shared" si="51"/>
        <v>Loss</v>
      </c>
      <c r="T303" s="7" t="str">
        <f t="shared" si="52"/>
        <v>Aug</v>
      </c>
      <c r="U303" s="7">
        <f t="shared" si="53"/>
        <v>2025</v>
      </c>
      <c r="V303" s="7" t="str">
        <f t="shared" si="54"/>
        <v>20-25</v>
      </c>
    </row>
    <row r="304" spans="1:22" x14ac:dyDescent="0.3">
      <c r="A304" s="7" t="s">
        <v>321</v>
      </c>
      <c r="B304" s="8" t="s">
        <v>1325</v>
      </c>
      <c r="C304" s="8">
        <v>44</v>
      </c>
      <c r="D304" s="8" t="s">
        <v>721</v>
      </c>
      <c r="E304" s="8" t="s">
        <v>724</v>
      </c>
      <c r="F304" s="7" t="s">
        <v>1735</v>
      </c>
      <c r="G304" s="7" t="s">
        <v>760</v>
      </c>
      <c r="H304" s="7" t="s">
        <v>956</v>
      </c>
      <c r="I304" s="7" t="s">
        <v>960</v>
      </c>
      <c r="J304" s="7">
        <f t="shared" si="44"/>
        <v>10</v>
      </c>
      <c r="K304" s="9">
        <f t="shared" si="45"/>
        <v>120000</v>
      </c>
      <c r="L304" s="7">
        <v>2</v>
      </c>
      <c r="M304" s="9">
        <f t="shared" si="46"/>
        <v>240000</v>
      </c>
      <c r="N304" s="9">
        <f t="shared" si="47"/>
        <v>156000</v>
      </c>
      <c r="O304" s="7" t="s">
        <v>1006</v>
      </c>
      <c r="P304" s="10">
        <f t="shared" si="48"/>
        <v>0.15</v>
      </c>
      <c r="Q304" s="9">
        <f t="shared" si="49"/>
        <v>36000</v>
      </c>
      <c r="R304" s="9">
        <f t="shared" si="50"/>
        <v>204000</v>
      </c>
      <c r="S304" s="9" t="str">
        <f t="shared" si="51"/>
        <v>Profit</v>
      </c>
      <c r="T304" s="7" t="str">
        <f t="shared" si="52"/>
        <v>Mar</v>
      </c>
      <c r="U304" s="7">
        <f t="shared" si="53"/>
        <v>2025</v>
      </c>
      <c r="V304" s="7" t="str">
        <f t="shared" si="54"/>
        <v>40-45</v>
      </c>
    </row>
    <row r="305" spans="1:22" x14ac:dyDescent="0.3">
      <c r="A305" s="7" t="s">
        <v>322</v>
      </c>
      <c r="B305" s="8" t="s">
        <v>1326</v>
      </c>
      <c r="C305" s="8">
        <v>33</v>
      </c>
      <c r="D305" s="8" t="s">
        <v>721</v>
      </c>
      <c r="E305" s="8" t="s">
        <v>724</v>
      </c>
      <c r="F305" s="7" t="s">
        <v>729</v>
      </c>
      <c r="G305" s="7" t="s">
        <v>905</v>
      </c>
      <c r="H305" s="7" t="s">
        <v>987</v>
      </c>
      <c r="I305" s="7" t="s">
        <v>967</v>
      </c>
      <c r="J305" s="7">
        <f t="shared" si="44"/>
        <v>10</v>
      </c>
      <c r="K305" s="9">
        <f t="shared" si="45"/>
        <v>120000</v>
      </c>
      <c r="L305" s="7">
        <v>1</v>
      </c>
      <c r="M305" s="9">
        <f t="shared" si="46"/>
        <v>120000</v>
      </c>
      <c r="N305" s="9">
        <f t="shared" si="47"/>
        <v>78000</v>
      </c>
      <c r="O305" s="7" t="s">
        <v>1007</v>
      </c>
      <c r="P305" s="10">
        <f t="shared" si="48"/>
        <v>0</v>
      </c>
      <c r="Q305" s="9">
        <f t="shared" si="49"/>
        <v>0</v>
      </c>
      <c r="R305" s="9">
        <f t="shared" si="50"/>
        <v>5000</v>
      </c>
      <c r="S305" s="9" t="str">
        <f t="shared" si="51"/>
        <v>Loss</v>
      </c>
      <c r="T305" s="7" t="str">
        <f t="shared" si="52"/>
        <v>Aug</v>
      </c>
      <c r="U305" s="7">
        <f t="shared" si="53"/>
        <v>2025</v>
      </c>
      <c r="V305" s="7" t="str">
        <f t="shared" si="54"/>
        <v>30-35</v>
      </c>
    </row>
    <row r="306" spans="1:22" x14ac:dyDescent="0.3">
      <c r="A306" s="7" t="s">
        <v>323</v>
      </c>
      <c r="B306" s="8" t="s">
        <v>1327</v>
      </c>
      <c r="C306" s="8">
        <v>27</v>
      </c>
      <c r="D306" s="8" t="s">
        <v>720</v>
      </c>
      <c r="E306" s="8" t="s">
        <v>722</v>
      </c>
      <c r="F306" s="7" t="s">
        <v>735</v>
      </c>
      <c r="G306" s="7" t="s">
        <v>831</v>
      </c>
      <c r="H306" s="7" t="s">
        <v>878</v>
      </c>
      <c r="I306" s="7" t="s">
        <v>762</v>
      </c>
      <c r="J306" s="7">
        <f t="shared" si="44"/>
        <v>5</v>
      </c>
      <c r="K306" s="9">
        <f t="shared" si="45"/>
        <v>60000</v>
      </c>
      <c r="L306" s="7">
        <v>3</v>
      </c>
      <c r="M306" s="9">
        <f t="shared" si="46"/>
        <v>180000</v>
      </c>
      <c r="N306" s="9">
        <f t="shared" si="47"/>
        <v>117000</v>
      </c>
      <c r="O306" s="7" t="s">
        <v>1007</v>
      </c>
      <c r="P306" s="10">
        <f t="shared" si="48"/>
        <v>0</v>
      </c>
      <c r="Q306" s="9">
        <f t="shared" si="49"/>
        <v>0</v>
      </c>
      <c r="R306" s="9">
        <f t="shared" si="50"/>
        <v>5000</v>
      </c>
      <c r="S306" s="9" t="str">
        <f t="shared" si="51"/>
        <v>Loss</v>
      </c>
      <c r="T306" s="7" t="str">
        <f t="shared" si="52"/>
        <v>Feb</v>
      </c>
      <c r="U306" s="7">
        <f t="shared" si="53"/>
        <v>2025</v>
      </c>
      <c r="V306" s="7" t="str">
        <f t="shared" si="54"/>
        <v>25-30</v>
      </c>
    </row>
    <row r="307" spans="1:22" x14ac:dyDescent="0.3">
      <c r="A307" s="7" t="s">
        <v>324</v>
      </c>
      <c r="B307" s="8" t="s">
        <v>1328</v>
      </c>
      <c r="C307" s="8">
        <v>60</v>
      </c>
      <c r="D307" s="8" t="s">
        <v>721</v>
      </c>
      <c r="E307" s="8" t="s">
        <v>722</v>
      </c>
      <c r="F307" s="7" t="s">
        <v>734</v>
      </c>
      <c r="G307" s="7" t="s">
        <v>906</v>
      </c>
      <c r="H307" s="7" t="s">
        <v>831</v>
      </c>
      <c r="I307" s="7" t="s">
        <v>897</v>
      </c>
      <c r="J307" s="7">
        <f t="shared" si="44"/>
        <v>5</v>
      </c>
      <c r="K307" s="9">
        <f t="shared" si="45"/>
        <v>60000</v>
      </c>
      <c r="L307" s="7">
        <v>4</v>
      </c>
      <c r="M307" s="9">
        <f t="shared" si="46"/>
        <v>240000</v>
      </c>
      <c r="N307" s="9">
        <f t="shared" si="47"/>
        <v>156000</v>
      </c>
      <c r="O307" s="7" t="s">
        <v>1007</v>
      </c>
      <c r="P307" s="10">
        <f t="shared" si="48"/>
        <v>0</v>
      </c>
      <c r="Q307" s="9">
        <f t="shared" si="49"/>
        <v>0</v>
      </c>
      <c r="R307" s="9">
        <f t="shared" si="50"/>
        <v>5000</v>
      </c>
      <c r="S307" s="9" t="str">
        <f t="shared" si="51"/>
        <v>Loss</v>
      </c>
      <c r="T307" s="7" t="str">
        <f t="shared" si="52"/>
        <v>Jan</v>
      </c>
      <c r="U307" s="7">
        <f t="shared" si="53"/>
        <v>2025</v>
      </c>
      <c r="V307" s="7" t="str">
        <f t="shared" si="54"/>
        <v>60-65</v>
      </c>
    </row>
    <row r="308" spans="1:22" x14ac:dyDescent="0.3">
      <c r="A308" s="7" t="s">
        <v>325</v>
      </c>
      <c r="B308" s="8" t="s">
        <v>1329</v>
      </c>
      <c r="C308" s="8">
        <v>58</v>
      </c>
      <c r="D308" s="8" t="s">
        <v>721</v>
      </c>
      <c r="E308" s="8" t="s">
        <v>724</v>
      </c>
      <c r="F308" s="7" t="s">
        <v>734</v>
      </c>
      <c r="G308" s="7" t="s">
        <v>770</v>
      </c>
      <c r="H308" s="7" t="s">
        <v>751</v>
      </c>
      <c r="I308" s="7" t="s">
        <v>944</v>
      </c>
      <c r="J308" s="7">
        <f t="shared" si="44"/>
        <v>10</v>
      </c>
      <c r="K308" s="9">
        <f t="shared" si="45"/>
        <v>120000</v>
      </c>
      <c r="L308" s="7">
        <v>1</v>
      </c>
      <c r="M308" s="9">
        <f t="shared" si="46"/>
        <v>120000</v>
      </c>
      <c r="N308" s="9">
        <f t="shared" si="47"/>
        <v>78000</v>
      </c>
      <c r="O308" s="7" t="s">
        <v>1006</v>
      </c>
      <c r="P308" s="10">
        <f t="shared" si="48"/>
        <v>0.15</v>
      </c>
      <c r="Q308" s="9">
        <f t="shared" si="49"/>
        <v>18000</v>
      </c>
      <c r="R308" s="9">
        <f t="shared" si="50"/>
        <v>102000</v>
      </c>
      <c r="S308" s="9" t="str">
        <f t="shared" si="51"/>
        <v>Profit</v>
      </c>
      <c r="T308" s="7" t="str">
        <f t="shared" si="52"/>
        <v>Jan</v>
      </c>
      <c r="U308" s="7">
        <f t="shared" si="53"/>
        <v>2025</v>
      </c>
      <c r="V308" s="7" t="str">
        <f t="shared" si="54"/>
        <v>55-60</v>
      </c>
    </row>
    <row r="309" spans="1:22" x14ac:dyDescent="0.3">
      <c r="A309" s="7" t="s">
        <v>326</v>
      </c>
      <c r="B309" s="8" t="s">
        <v>1330</v>
      </c>
      <c r="C309" s="8">
        <v>34</v>
      </c>
      <c r="D309" s="8" t="s">
        <v>720</v>
      </c>
      <c r="E309" s="8" t="s">
        <v>726</v>
      </c>
      <c r="F309" s="7" t="s">
        <v>1730</v>
      </c>
      <c r="G309" s="7" t="s">
        <v>907</v>
      </c>
      <c r="H309" s="7" t="s">
        <v>956</v>
      </c>
      <c r="I309" s="7" t="s">
        <v>778</v>
      </c>
      <c r="J309" s="7">
        <f t="shared" si="44"/>
        <v>4</v>
      </c>
      <c r="K309" s="9">
        <f t="shared" si="45"/>
        <v>18000</v>
      </c>
      <c r="L309" s="7">
        <v>3</v>
      </c>
      <c r="M309" s="9">
        <f t="shared" si="46"/>
        <v>54000</v>
      </c>
      <c r="N309" s="9">
        <f t="shared" si="47"/>
        <v>27000</v>
      </c>
      <c r="O309" s="7" t="s">
        <v>1006</v>
      </c>
      <c r="P309" s="10">
        <f t="shared" si="48"/>
        <v>0.05</v>
      </c>
      <c r="Q309" s="9">
        <f t="shared" si="49"/>
        <v>2700</v>
      </c>
      <c r="R309" s="9">
        <f t="shared" si="50"/>
        <v>51300</v>
      </c>
      <c r="S309" s="9" t="str">
        <f t="shared" si="51"/>
        <v>Profit</v>
      </c>
      <c r="T309" s="7" t="str">
        <f t="shared" si="52"/>
        <v>Mar</v>
      </c>
      <c r="U309" s="7">
        <f t="shared" si="53"/>
        <v>2025</v>
      </c>
      <c r="V309" s="7" t="str">
        <f t="shared" si="54"/>
        <v>30-35</v>
      </c>
    </row>
    <row r="310" spans="1:22" x14ac:dyDescent="0.3">
      <c r="A310" s="7" t="s">
        <v>327</v>
      </c>
      <c r="B310" s="8" t="s">
        <v>1331</v>
      </c>
      <c r="C310" s="8">
        <v>28</v>
      </c>
      <c r="D310" s="8" t="s">
        <v>720</v>
      </c>
      <c r="E310" s="8" t="s">
        <v>722</v>
      </c>
      <c r="F310" s="7" t="s">
        <v>735</v>
      </c>
      <c r="G310" s="7" t="s">
        <v>908</v>
      </c>
      <c r="H310" s="7" t="s">
        <v>778</v>
      </c>
      <c r="I310" s="7" t="s">
        <v>766</v>
      </c>
      <c r="J310" s="7">
        <f t="shared" si="44"/>
        <v>5</v>
      </c>
      <c r="K310" s="9">
        <f t="shared" si="45"/>
        <v>60000</v>
      </c>
      <c r="L310" s="7">
        <v>4</v>
      </c>
      <c r="M310" s="9">
        <f t="shared" si="46"/>
        <v>240000</v>
      </c>
      <c r="N310" s="9">
        <f t="shared" si="47"/>
        <v>156000</v>
      </c>
      <c r="O310" s="7" t="s">
        <v>1007</v>
      </c>
      <c r="P310" s="10">
        <f t="shared" si="48"/>
        <v>0</v>
      </c>
      <c r="Q310" s="9">
        <f t="shared" si="49"/>
        <v>0</v>
      </c>
      <c r="R310" s="9">
        <f t="shared" si="50"/>
        <v>5000</v>
      </c>
      <c r="S310" s="9" t="str">
        <f t="shared" si="51"/>
        <v>Loss</v>
      </c>
      <c r="T310" s="7" t="str">
        <f t="shared" si="52"/>
        <v>Apr</v>
      </c>
      <c r="U310" s="7">
        <f t="shared" si="53"/>
        <v>2025</v>
      </c>
      <c r="V310" s="7" t="str">
        <f t="shared" si="54"/>
        <v>25-30</v>
      </c>
    </row>
    <row r="311" spans="1:22" x14ac:dyDescent="0.3">
      <c r="A311" s="7" t="s">
        <v>328</v>
      </c>
      <c r="B311" s="8" t="s">
        <v>1332</v>
      </c>
      <c r="C311" s="8">
        <v>42</v>
      </c>
      <c r="D311" s="8" t="s">
        <v>721</v>
      </c>
      <c r="E311" s="8" t="s">
        <v>726</v>
      </c>
      <c r="F311" s="7" t="s">
        <v>732</v>
      </c>
      <c r="G311" s="7" t="s">
        <v>791</v>
      </c>
      <c r="H311" s="7" t="s">
        <v>957</v>
      </c>
      <c r="I311" s="7" t="s">
        <v>856</v>
      </c>
      <c r="J311" s="7">
        <f t="shared" si="44"/>
        <v>4</v>
      </c>
      <c r="K311" s="9">
        <f t="shared" si="45"/>
        <v>18000</v>
      </c>
      <c r="L311" s="7">
        <v>1</v>
      </c>
      <c r="M311" s="9">
        <f t="shared" si="46"/>
        <v>18000</v>
      </c>
      <c r="N311" s="9">
        <f t="shared" si="47"/>
        <v>9000</v>
      </c>
      <c r="O311" s="7" t="s">
        <v>1006</v>
      </c>
      <c r="P311" s="10">
        <f t="shared" si="48"/>
        <v>0.05</v>
      </c>
      <c r="Q311" s="9">
        <f t="shared" si="49"/>
        <v>900</v>
      </c>
      <c r="R311" s="9">
        <f t="shared" si="50"/>
        <v>17100</v>
      </c>
      <c r="S311" s="9" t="str">
        <f t="shared" si="51"/>
        <v>Profit</v>
      </c>
      <c r="T311" s="7" t="str">
        <f t="shared" si="52"/>
        <v>Jan</v>
      </c>
      <c r="U311" s="7">
        <f t="shared" si="53"/>
        <v>2025</v>
      </c>
      <c r="V311" s="7" t="str">
        <f t="shared" si="54"/>
        <v>40-45</v>
      </c>
    </row>
    <row r="312" spans="1:22" x14ac:dyDescent="0.3">
      <c r="A312" s="7" t="s">
        <v>329</v>
      </c>
      <c r="B312" s="8" t="s">
        <v>1333</v>
      </c>
      <c r="C312" s="8">
        <v>24</v>
      </c>
      <c r="D312" s="8" t="s">
        <v>721</v>
      </c>
      <c r="E312" s="8" t="s">
        <v>723</v>
      </c>
      <c r="F312" s="7" t="s">
        <v>728</v>
      </c>
      <c r="G312" s="7" t="s">
        <v>892</v>
      </c>
      <c r="H312" s="7" t="s">
        <v>740</v>
      </c>
      <c r="I312" s="7" t="s">
        <v>956</v>
      </c>
      <c r="J312" s="7">
        <f t="shared" si="44"/>
        <v>7</v>
      </c>
      <c r="K312" s="9">
        <f t="shared" si="45"/>
        <v>70000</v>
      </c>
      <c r="L312" s="7">
        <v>4</v>
      </c>
      <c r="M312" s="9">
        <f t="shared" si="46"/>
        <v>280000</v>
      </c>
      <c r="N312" s="9">
        <f t="shared" si="47"/>
        <v>168000</v>
      </c>
      <c r="O312" s="7" t="s">
        <v>1006</v>
      </c>
      <c r="P312" s="10">
        <f t="shared" si="48"/>
        <v>7.0000000000000007E-2</v>
      </c>
      <c r="Q312" s="9">
        <f t="shared" si="49"/>
        <v>19600.000000000004</v>
      </c>
      <c r="R312" s="9">
        <f t="shared" si="50"/>
        <v>260400</v>
      </c>
      <c r="S312" s="9" t="str">
        <f t="shared" si="51"/>
        <v>Profit</v>
      </c>
      <c r="T312" s="7" t="str">
        <f t="shared" si="52"/>
        <v>Mar</v>
      </c>
      <c r="U312" s="7">
        <f t="shared" si="53"/>
        <v>2025</v>
      </c>
      <c r="V312" s="7" t="str">
        <f t="shared" si="54"/>
        <v>20-25</v>
      </c>
    </row>
    <row r="313" spans="1:22" x14ac:dyDescent="0.3">
      <c r="A313" s="7" t="s">
        <v>330</v>
      </c>
      <c r="B313" s="8" t="s">
        <v>1334</v>
      </c>
      <c r="C313" s="8">
        <v>43</v>
      </c>
      <c r="D313" s="8" t="s">
        <v>720</v>
      </c>
      <c r="E313" s="8" t="s">
        <v>726</v>
      </c>
      <c r="F313" s="7" t="s">
        <v>1726</v>
      </c>
      <c r="G313" s="7" t="s">
        <v>787</v>
      </c>
      <c r="H313" s="7" t="s">
        <v>847</v>
      </c>
      <c r="I313" s="7" t="s">
        <v>913</v>
      </c>
      <c r="J313" s="7">
        <f t="shared" si="44"/>
        <v>4</v>
      </c>
      <c r="K313" s="9">
        <f t="shared" si="45"/>
        <v>18000</v>
      </c>
      <c r="L313" s="7">
        <v>3</v>
      </c>
      <c r="M313" s="9">
        <f t="shared" si="46"/>
        <v>54000</v>
      </c>
      <c r="N313" s="9">
        <f t="shared" si="47"/>
        <v>27000</v>
      </c>
      <c r="O313" s="7" t="s">
        <v>1006</v>
      </c>
      <c r="P313" s="10">
        <f t="shared" si="48"/>
        <v>0.05</v>
      </c>
      <c r="Q313" s="9">
        <f t="shared" si="49"/>
        <v>2700</v>
      </c>
      <c r="R313" s="9">
        <f t="shared" si="50"/>
        <v>51300</v>
      </c>
      <c r="S313" s="9" t="str">
        <f t="shared" si="51"/>
        <v>Profit</v>
      </c>
      <c r="T313" s="7" t="str">
        <f t="shared" si="52"/>
        <v>Jul</v>
      </c>
      <c r="U313" s="7">
        <f t="shared" si="53"/>
        <v>2025</v>
      </c>
      <c r="V313" s="7" t="str">
        <f t="shared" si="54"/>
        <v>40-45</v>
      </c>
    </row>
    <row r="314" spans="1:22" x14ac:dyDescent="0.3">
      <c r="A314" s="7" t="s">
        <v>331</v>
      </c>
      <c r="B314" s="8" t="s">
        <v>1335</v>
      </c>
      <c r="C314" s="8">
        <v>28</v>
      </c>
      <c r="D314" s="8" t="s">
        <v>721</v>
      </c>
      <c r="E314" s="8" t="s">
        <v>725</v>
      </c>
      <c r="F314" s="7" t="s">
        <v>730</v>
      </c>
      <c r="G314" s="7" t="s">
        <v>803</v>
      </c>
      <c r="H314" s="7" t="s">
        <v>886</v>
      </c>
      <c r="I314" s="7" t="s">
        <v>845</v>
      </c>
      <c r="J314" s="7">
        <f t="shared" si="44"/>
        <v>8</v>
      </c>
      <c r="K314" s="9">
        <f t="shared" si="45"/>
        <v>80000</v>
      </c>
      <c r="L314" s="7">
        <v>2</v>
      </c>
      <c r="M314" s="9">
        <f t="shared" si="46"/>
        <v>160000</v>
      </c>
      <c r="N314" s="9">
        <f t="shared" si="47"/>
        <v>96000</v>
      </c>
      <c r="O314" s="7" t="s">
        <v>1006</v>
      </c>
      <c r="P314" s="10">
        <f t="shared" si="48"/>
        <v>0.12</v>
      </c>
      <c r="Q314" s="9">
        <f t="shared" si="49"/>
        <v>19200</v>
      </c>
      <c r="R314" s="9">
        <f t="shared" si="50"/>
        <v>140800</v>
      </c>
      <c r="S314" s="9" t="str">
        <f t="shared" si="51"/>
        <v>Profit</v>
      </c>
      <c r="T314" s="7" t="str">
        <f t="shared" si="52"/>
        <v>Mar</v>
      </c>
      <c r="U314" s="7">
        <f t="shared" si="53"/>
        <v>2025</v>
      </c>
      <c r="V314" s="7" t="str">
        <f t="shared" si="54"/>
        <v>25-30</v>
      </c>
    </row>
    <row r="315" spans="1:22" x14ac:dyDescent="0.3">
      <c r="A315" s="7" t="s">
        <v>332</v>
      </c>
      <c r="B315" s="8" t="s">
        <v>1336</v>
      </c>
      <c r="C315" s="8">
        <v>58</v>
      </c>
      <c r="D315" s="8" t="s">
        <v>720</v>
      </c>
      <c r="E315" s="8" t="s">
        <v>724</v>
      </c>
      <c r="F315" s="7" t="s">
        <v>730</v>
      </c>
      <c r="G315" s="7" t="s">
        <v>780</v>
      </c>
      <c r="H315" s="7" t="s">
        <v>772</v>
      </c>
      <c r="I315" s="7" t="s">
        <v>901</v>
      </c>
      <c r="J315" s="7">
        <f t="shared" si="44"/>
        <v>10</v>
      </c>
      <c r="K315" s="9">
        <f t="shared" si="45"/>
        <v>120000</v>
      </c>
      <c r="L315" s="7">
        <v>4</v>
      </c>
      <c r="M315" s="9">
        <f t="shared" si="46"/>
        <v>480000</v>
      </c>
      <c r="N315" s="9">
        <f t="shared" si="47"/>
        <v>312000</v>
      </c>
      <c r="O315" s="7" t="s">
        <v>1007</v>
      </c>
      <c r="P315" s="10">
        <f t="shared" si="48"/>
        <v>0</v>
      </c>
      <c r="Q315" s="9">
        <f t="shared" si="49"/>
        <v>0</v>
      </c>
      <c r="R315" s="9">
        <f t="shared" si="50"/>
        <v>5000</v>
      </c>
      <c r="S315" s="9" t="str">
        <f t="shared" si="51"/>
        <v>Loss</v>
      </c>
      <c r="T315" s="7" t="str">
        <f t="shared" si="52"/>
        <v>Jul</v>
      </c>
      <c r="U315" s="7">
        <f t="shared" si="53"/>
        <v>2025</v>
      </c>
      <c r="V315" s="7" t="str">
        <f t="shared" si="54"/>
        <v>55-60</v>
      </c>
    </row>
    <row r="316" spans="1:22" x14ac:dyDescent="0.3">
      <c r="A316" s="7" t="s">
        <v>333</v>
      </c>
      <c r="B316" s="8" t="s">
        <v>1337</v>
      </c>
      <c r="C316" s="8">
        <v>45</v>
      </c>
      <c r="D316" s="8" t="s">
        <v>720</v>
      </c>
      <c r="E316" s="8" t="s">
        <v>724</v>
      </c>
      <c r="F316" s="7" t="s">
        <v>730</v>
      </c>
      <c r="G316" s="7" t="s">
        <v>884</v>
      </c>
      <c r="H316" s="7" t="s">
        <v>870</v>
      </c>
      <c r="I316" s="7" t="s">
        <v>858</v>
      </c>
      <c r="J316" s="7">
        <f t="shared" si="44"/>
        <v>10</v>
      </c>
      <c r="K316" s="9">
        <f t="shared" si="45"/>
        <v>120000</v>
      </c>
      <c r="L316" s="7">
        <v>2</v>
      </c>
      <c r="M316" s="9">
        <f t="shared" si="46"/>
        <v>240000</v>
      </c>
      <c r="N316" s="9">
        <f t="shared" si="47"/>
        <v>156000</v>
      </c>
      <c r="O316" s="7" t="s">
        <v>1007</v>
      </c>
      <c r="P316" s="10">
        <f t="shared" si="48"/>
        <v>0</v>
      </c>
      <c r="Q316" s="9">
        <f t="shared" si="49"/>
        <v>0</v>
      </c>
      <c r="R316" s="9">
        <f t="shared" si="50"/>
        <v>5000</v>
      </c>
      <c r="S316" s="9" t="str">
        <f t="shared" si="51"/>
        <v>Loss</v>
      </c>
      <c r="T316" s="7" t="str">
        <f t="shared" si="52"/>
        <v>Apr</v>
      </c>
      <c r="U316" s="7">
        <f t="shared" si="53"/>
        <v>2025</v>
      </c>
      <c r="V316" s="7" t="str">
        <f t="shared" si="54"/>
        <v>45-50</v>
      </c>
    </row>
    <row r="317" spans="1:22" x14ac:dyDescent="0.3">
      <c r="A317" s="7" t="s">
        <v>334</v>
      </c>
      <c r="B317" s="8" t="s">
        <v>1338</v>
      </c>
      <c r="C317" s="8">
        <v>26</v>
      </c>
      <c r="D317" s="8" t="s">
        <v>721</v>
      </c>
      <c r="E317" s="8" t="s">
        <v>725</v>
      </c>
      <c r="F317" s="7" t="s">
        <v>727</v>
      </c>
      <c r="G317" s="7" t="s">
        <v>902</v>
      </c>
      <c r="H317" s="7" t="s">
        <v>781</v>
      </c>
      <c r="I317" s="7" t="s">
        <v>823</v>
      </c>
      <c r="J317" s="7">
        <f t="shared" si="44"/>
        <v>8</v>
      </c>
      <c r="K317" s="9">
        <f t="shared" si="45"/>
        <v>80000</v>
      </c>
      <c r="L317" s="7">
        <v>2</v>
      </c>
      <c r="M317" s="9">
        <f t="shared" si="46"/>
        <v>160000</v>
      </c>
      <c r="N317" s="9">
        <f t="shared" si="47"/>
        <v>96000</v>
      </c>
      <c r="O317" s="7" t="s">
        <v>1006</v>
      </c>
      <c r="P317" s="10">
        <f t="shared" si="48"/>
        <v>0.12</v>
      </c>
      <c r="Q317" s="9">
        <f t="shared" si="49"/>
        <v>19200</v>
      </c>
      <c r="R317" s="9">
        <f t="shared" si="50"/>
        <v>140800</v>
      </c>
      <c r="S317" s="9" t="str">
        <f t="shared" si="51"/>
        <v>Profit</v>
      </c>
      <c r="T317" s="7" t="str">
        <f t="shared" si="52"/>
        <v>Jan</v>
      </c>
      <c r="U317" s="7">
        <f t="shared" si="53"/>
        <v>2025</v>
      </c>
      <c r="V317" s="7" t="str">
        <f t="shared" si="54"/>
        <v>25-30</v>
      </c>
    </row>
    <row r="318" spans="1:22" x14ac:dyDescent="0.3">
      <c r="A318" s="7" t="s">
        <v>335</v>
      </c>
      <c r="B318" s="8" t="s">
        <v>1339</v>
      </c>
      <c r="C318" s="8">
        <v>22</v>
      </c>
      <c r="D318" s="8" t="s">
        <v>720</v>
      </c>
      <c r="E318" s="8" t="s">
        <v>722</v>
      </c>
      <c r="F318" s="7" t="s">
        <v>730</v>
      </c>
      <c r="G318" s="7" t="s">
        <v>771</v>
      </c>
      <c r="H318" s="7" t="s">
        <v>760</v>
      </c>
      <c r="I318" s="7" t="s">
        <v>948</v>
      </c>
      <c r="J318" s="7">
        <f t="shared" si="44"/>
        <v>5</v>
      </c>
      <c r="K318" s="9">
        <f t="shared" si="45"/>
        <v>60000</v>
      </c>
      <c r="L318" s="7">
        <v>1</v>
      </c>
      <c r="M318" s="9">
        <f t="shared" si="46"/>
        <v>60000</v>
      </c>
      <c r="N318" s="9">
        <f t="shared" si="47"/>
        <v>39000</v>
      </c>
      <c r="O318" s="7" t="s">
        <v>1006</v>
      </c>
      <c r="P318" s="10">
        <f t="shared" si="48"/>
        <v>0.1</v>
      </c>
      <c r="Q318" s="9">
        <f t="shared" si="49"/>
        <v>6000</v>
      </c>
      <c r="R318" s="9">
        <f t="shared" si="50"/>
        <v>54000</v>
      </c>
      <c r="S318" s="9" t="str">
        <f t="shared" si="51"/>
        <v>Profit</v>
      </c>
      <c r="T318" s="7" t="str">
        <f t="shared" si="52"/>
        <v>Mar</v>
      </c>
      <c r="U318" s="7">
        <f t="shared" si="53"/>
        <v>2025</v>
      </c>
      <c r="V318" s="7" t="str">
        <f t="shared" si="54"/>
        <v>20-25</v>
      </c>
    </row>
    <row r="319" spans="1:22" x14ac:dyDescent="0.3">
      <c r="A319" s="7" t="s">
        <v>336</v>
      </c>
      <c r="B319" s="8" t="s">
        <v>1340</v>
      </c>
      <c r="C319" s="8">
        <v>52</v>
      </c>
      <c r="D319" s="8" t="s">
        <v>720</v>
      </c>
      <c r="E319" s="8" t="s">
        <v>726</v>
      </c>
      <c r="F319" s="7" t="s">
        <v>1730</v>
      </c>
      <c r="G319" s="7" t="s">
        <v>798</v>
      </c>
      <c r="H319" s="7" t="s">
        <v>760</v>
      </c>
      <c r="I319" s="7" t="s">
        <v>852</v>
      </c>
      <c r="J319" s="7">
        <f t="shared" si="44"/>
        <v>4</v>
      </c>
      <c r="K319" s="9">
        <f t="shared" si="45"/>
        <v>18000</v>
      </c>
      <c r="L319" s="7">
        <v>3</v>
      </c>
      <c r="M319" s="9">
        <f t="shared" si="46"/>
        <v>54000</v>
      </c>
      <c r="N319" s="9">
        <f t="shared" si="47"/>
        <v>27000</v>
      </c>
      <c r="O319" s="7" t="s">
        <v>1007</v>
      </c>
      <c r="P319" s="10">
        <f t="shared" si="48"/>
        <v>0</v>
      </c>
      <c r="Q319" s="9">
        <f t="shared" si="49"/>
        <v>0</v>
      </c>
      <c r="R319" s="9">
        <f t="shared" si="50"/>
        <v>5000</v>
      </c>
      <c r="S319" s="9" t="str">
        <f t="shared" si="51"/>
        <v>Loss</v>
      </c>
      <c r="T319" s="7" t="str">
        <f t="shared" si="52"/>
        <v>Feb</v>
      </c>
      <c r="U319" s="7">
        <f t="shared" si="53"/>
        <v>2025</v>
      </c>
      <c r="V319" s="7" t="str">
        <f t="shared" si="54"/>
        <v>50-55</v>
      </c>
    </row>
    <row r="320" spans="1:22" x14ac:dyDescent="0.3">
      <c r="A320" s="7" t="s">
        <v>337</v>
      </c>
      <c r="B320" s="8" t="s">
        <v>1341</v>
      </c>
      <c r="C320" s="8">
        <v>56</v>
      </c>
      <c r="D320" s="8" t="s">
        <v>720</v>
      </c>
      <c r="E320" s="8" t="s">
        <v>722</v>
      </c>
      <c r="F320" s="7" t="s">
        <v>733</v>
      </c>
      <c r="G320" s="7" t="s">
        <v>909</v>
      </c>
      <c r="H320" s="7" t="s">
        <v>768</v>
      </c>
      <c r="I320" s="7" t="s">
        <v>749</v>
      </c>
      <c r="J320" s="7">
        <f t="shared" si="44"/>
        <v>5</v>
      </c>
      <c r="K320" s="9">
        <f t="shared" si="45"/>
        <v>60000</v>
      </c>
      <c r="L320" s="7">
        <v>2</v>
      </c>
      <c r="M320" s="9">
        <f t="shared" si="46"/>
        <v>120000</v>
      </c>
      <c r="N320" s="9">
        <f t="shared" si="47"/>
        <v>78000</v>
      </c>
      <c r="O320" s="7" t="s">
        <v>1007</v>
      </c>
      <c r="P320" s="10">
        <f t="shared" si="48"/>
        <v>0</v>
      </c>
      <c r="Q320" s="9">
        <f t="shared" si="49"/>
        <v>0</v>
      </c>
      <c r="R320" s="9">
        <f t="shared" si="50"/>
        <v>5000</v>
      </c>
      <c r="S320" s="9" t="str">
        <f t="shared" si="51"/>
        <v>Loss</v>
      </c>
      <c r="T320" s="7" t="str">
        <f t="shared" si="52"/>
        <v>Apr</v>
      </c>
      <c r="U320" s="7">
        <f t="shared" si="53"/>
        <v>2025</v>
      </c>
      <c r="V320" s="7" t="str">
        <f t="shared" si="54"/>
        <v>55-60</v>
      </c>
    </row>
    <row r="321" spans="1:22" x14ac:dyDescent="0.3">
      <c r="A321" s="7" t="s">
        <v>338</v>
      </c>
      <c r="B321" s="8" t="s">
        <v>1342</v>
      </c>
      <c r="C321" s="8">
        <v>44</v>
      </c>
      <c r="D321" s="8" t="s">
        <v>721</v>
      </c>
      <c r="E321" s="8" t="s">
        <v>724</v>
      </c>
      <c r="F321" s="7" t="s">
        <v>734</v>
      </c>
      <c r="G321" s="7" t="s">
        <v>768</v>
      </c>
      <c r="H321" s="7" t="s">
        <v>752</v>
      </c>
      <c r="I321" s="7" t="s">
        <v>820</v>
      </c>
      <c r="J321" s="7">
        <f t="shared" si="44"/>
        <v>10</v>
      </c>
      <c r="K321" s="9">
        <f t="shared" si="45"/>
        <v>120000</v>
      </c>
      <c r="L321" s="7">
        <v>4</v>
      </c>
      <c r="M321" s="9">
        <f t="shared" si="46"/>
        <v>480000</v>
      </c>
      <c r="N321" s="9">
        <f t="shared" si="47"/>
        <v>312000</v>
      </c>
      <c r="O321" s="7" t="s">
        <v>1007</v>
      </c>
      <c r="P321" s="10">
        <f t="shared" si="48"/>
        <v>0</v>
      </c>
      <c r="Q321" s="9">
        <f t="shared" si="49"/>
        <v>0</v>
      </c>
      <c r="R321" s="9">
        <f t="shared" si="50"/>
        <v>5000</v>
      </c>
      <c r="S321" s="9" t="str">
        <f t="shared" si="51"/>
        <v>Loss</v>
      </c>
      <c r="T321" s="7" t="str">
        <f t="shared" si="52"/>
        <v>Apr</v>
      </c>
      <c r="U321" s="7">
        <f t="shared" si="53"/>
        <v>2025</v>
      </c>
      <c r="V321" s="7" t="str">
        <f t="shared" si="54"/>
        <v>40-45</v>
      </c>
    </row>
    <row r="322" spans="1:22" x14ac:dyDescent="0.3">
      <c r="A322" s="7" t="s">
        <v>339</v>
      </c>
      <c r="B322" s="8" t="s">
        <v>1343</v>
      </c>
      <c r="C322" s="8">
        <v>45</v>
      </c>
      <c r="D322" s="8" t="s">
        <v>721</v>
      </c>
      <c r="E322" s="8" t="s">
        <v>724</v>
      </c>
      <c r="F322" s="7" t="s">
        <v>733</v>
      </c>
      <c r="G322" s="7" t="s">
        <v>819</v>
      </c>
      <c r="H322" s="7" t="s">
        <v>922</v>
      </c>
      <c r="I322" s="7" t="s">
        <v>798</v>
      </c>
      <c r="J322" s="7">
        <f t="shared" si="44"/>
        <v>10</v>
      </c>
      <c r="K322" s="9">
        <f t="shared" si="45"/>
        <v>120000</v>
      </c>
      <c r="L322" s="7">
        <v>2</v>
      </c>
      <c r="M322" s="9">
        <f t="shared" si="46"/>
        <v>240000</v>
      </c>
      <c r="N322" s="9">
        <f t="shared" si="47"/>
        <v>156000</v>
      </c>
      <c r="O322" s="7" t="s">
        <v>1007</v>
      </c>
      <c r="P322" s="10">
        <f t="shared" si="48"/>
        <v>0</v>
      </c>
      <c r="Q322" s="9">
        <f t="shared" si="49"/>
        <v>0</v>
      </c>
      <c r="R322" s="9">
        <f t="shared" si="50"/>
        <v>5000</v>
      </c>
      <c r="S322" s="9" t="str">
        <f t="shared" si="51"/>
        <v>Loss</v>
      </c>
      <c r="T322" s="7" t="str">
        <f t="shared" si="52"/>
        <v>Jan</v>
      </c>
      <c r="U322" s="7">
        <f t="shared" si="53"/>
        <v>2025</v>
      </c>
      <c r="V322" s="7" t="str">
        <f t="shared" si="54"/>
        <v>45-50</v>
      </c>
    </row>
    <row r="323" spans="1:22" x14ac:dyDescent="0.3">
      <c r="A323" s="7" t="s">
        <v>340</v>
      </c>
      <c r="B323" s="8" t="s">
        <v>1344</v>
      </c>
      <c r="C323" s="8">
        <v>39</v>
      </c>
      <c r="D323" s="8" t="s">
        <v>720</v>
      </c>
      <c r="E323" s="8" t="s">
        <v>723</v>
      </c>
      <c r="F323" s="7" t="s">
        <v>732</v>
      </c>
      <c r="G323" s="7" t="s">
        <v>805</v>
      </c>
      <c r="H323" s="7" t="s">
        <v>952</v>
      </c>
      <c r="I323" s="7" t="s">
        <v>743</v>
      </c>
      <c r="J323" s="7">
        <f t="shared" si="44"/>
        <v>7</v>
      </c>
      <c r="K323" s="9">
        <f t="shared" si="45"/>
        <v>70000</v>
      </c>
      <c r="L323" s="7">
        <v>3</v>
      </c>
      <c r="M323" s="9">
        <f t="shared" si="46"/>
        <v>210000</v>
      </c>
      <c r="N323" s="9">
        <f t="shared" si="47"/>
        <v>126000</v>
      </c>
      <c r="O323" s="7" t="s">
        <v>1006</v>
      </c>
      <c r="P323" s="10">
        <f t="shared" si="48"/>
        <v>7.0000000000000007E-2</v>
      </c>
      <c r="Q323" s="9">
        <f t="shared" si="49"/>
        <v>14700.000000000002</v>
      </c>
      <c r="R323" s="9">
        <f t="shared" si="50"/>
        <v>195300</v>
      </c>
      <c r="S323" s="9" t="str">
        <f t="shared" si="51"/>
        <v>Profit</v>
      </c>
      <c r="T323" s="7" t="str">
        <f t="shared" si="52"/>
        <v>May</v>
      </c>
      <c r="U323" s="7">
        <f t="shared" si="53"/>
        <v>2025</v>
      </c>
      <c r="V323" s="7" t="str">
        <f t="shared" si="54"/>
        <v>35-40</v>
      </c>
    </row>
    <row r="324" spans="1:22" x14ac:dyDescent="0.3">
      <c r="A324" s="7" t="s">
        <v>341</v>
      </c>
      <c r="B324" s="8" t="s">
        <v>1345</v>
      </c>
      <c r="C324" s="8">
        <v>33</v>
      </c>
      <c r="D324" s="8" t="s">
        <v>721</v>
      </c>
      <c r="E324" s="8" t="s">
        <v>724</v>
      </c>
      <c r="F324" s="7" t="s">
        <v>1735</v>
      </c>
      <c r="G324" s="7" t="s">
        <v>889</v>
      </c>
      <c r="H324" s="7" t="s">
        <v>755</v>
      </c>
      <c r="I324" s="7" t="s">
        <v>775</v>
      </c>
      <c r="J324" s="7">
        <f t="shared" ref="J324:J387" si="55">IF(E324="Adventure",5,IF(E324="Domestic",4,IF(E324="Family",7,IF(E324="Honeymoon",8,IF(E324="International",10,"")))))</f>
        <v>10</v>
      </c>
      <c r="K324" s="9">
        <f t="shared" ref="K324:K387" si="56">IF(E324="Adventure",60000,
IF(E324="Domestic",18000,
IF(E324="Family",70000,
IF(E324="Honeymoon",80000,
IF(E324="International",120000,"")))))</f>
        <v>120000</v>
      </c>
      <c r="L324" s="7">
        <v>2</v>
      </c>
      <c r="M324" s="9">
        <f t="shared" ref="M324:M387" si="57">K324*L324</f>
        <v>240000</v>
      </c>
      <c r="N324" s="9">
        <f t="shared" ref="N324:N387" si="58">IF(E324="Adventure",M324*65%,IF(E324="Domestic",M324*50%,IF(E324="Family",M324*60%,IF(E324="Honeymoon",M324*60%,IF(E324="International",M324*65%,0)))))</f>
        <v>156000</v>
      </c>
      <c r="O324" s="7" t="s">
        <v>1007</v>
      </c>
      <c r="P324" s="10">
        <f t="shared" ref="P324:P387" si="59">IF(O324="Cancelled",0,IF(E324="Domestic",5%,IF(E324="Adventure",10%,IF(E324="Family",7%,IF(E324="Honeymoon",12%,IF(E324="International",15%,0))))))</f>
        <v>0</v>
      </c>
      <c r="Q324" s="9">
        <f t="shared" ref="Q324:Q387" si="60">M324*P324</f>
        <v>0</v>
      </c>
      <c r="R324" s="9">
        <f t="shared" ref="R324:R387" si="61">IF(O324="Cancelled",5000,M324-Q324)</f>
        <v>5000</v>
      </c>
      <c r="S324" s="9" t="str">
        <f t="shared" ref="S324:S387" si="62">IF(R324-N324&gt;5000,"Profit","Loss")</f>
        <v>Loss</v>
      </c>
      <c r="T324" s="7" t="str">
        <f t="shared" ref="T324:T387" si="63">TEXT(G324,"mmm")</f>
        <v>Apr</v>
      </c>
      <c r="U324" s="7">
        <f t="shared" ref="U324:U387" si="64">YEAR(G324)</f>
        <v>2025</v>
      </c>
      <c r="V324" s="7" t="str">
        <f t="shared" ref="V324:V387" si="65">FLOOR(C324,5) &amp; "-" &amp; FLOOR(C324,5)+5</f>
        <v>30-35</v>
      </c>
    </row>
    <row r="325" spans="1:22" x14ac:dyDescent="0.3">
      <c r="A325" s="7" t="s">
        <v>342</v>
      </c>
      <c r="B325" s="8" t="s">
        <v>1346</v>
      </c>
      <c r="C325" s="8">
        <v>34</v>
      </c>
      <c r="D325" s="8" t="s">
        <v>721</v>
      </c>
      <c r="E325" s="8" t="s">
        <v>723</v>
      </c>
      <c r="F325" s="7" t="s">
        <v>729</v>
      </c>
      <c r="G325" s="7" t="s">
        <v>772</v>
      </c>
      <c r="H325" s="7" t="s">
        <v>988</v>
      </c>
      <c r="I325" s="7" t="s">
        <v>1004</v>
      </c>
      <c r="J325" s="7">
        <f t="shared" si="55"/>
        <v>7</v>
      </c>
      <c r="K325" s="9">
        <f t="shared" si="56"/>
        <v>70000</v>
      </c>
      <c r="L325" s="7">
        <v>2</v>
      </c>
      <c r="M325" s="9">
        <f t="shared" si="57"/>
        <v>140000</v>
      </c>
      <c r="N325" s="9">
        <f t="shared" si="58"/>
        <v>84000</v>
      </c>
      <c r="O325" s="7" t="s">
        <v>1007</v>
      </c>
      <c r="P325" s="10">
        <f t="shared" si="59"/>
        <v>0</v>
      </c>
      <c r="Q325" s="9">
        <f t="shared" si="60"/>
        <v>0</v>
      </c>
      <c r="R325" s="9">
        <f t="shared" si="61"/>
        <v>5000</v>
      </c>
      <c r="S325" s="9" t="str">
        <f t="shared" si="62"/>
        <v>Loss</v>
      </c>
      <c r="T325" s="7" t="str">
        <f t="shared" si="63"/>
        <v>Aug</v>
      </c>
      <c r="U325" s="7">
        <f t="shared" si="64"/>
        <v>2025</v>
      </c>
      <c r="V325" s="7" t="str">
        <f t="shared" si="65"/>
        <v>30-35</v>
      </c>
    </row>
    <row r="326" spans="1:22" x14ac:dyDescent="0.3">
      <c r="A326" s="7" t="s">
        <v>343</v>
      </c>
      <c r="B326" s="8" t="s">
        <v>1347</v>
      </c>
      <c r="C326" s="8">
        <v>41</v>
      </c>
      <c r="D326" s="8" t="s">
        <v>721</v>
      </c>
      <c r="E326" s="8" t="s">
        <v>723</v>
      </c>
      <c r="F326" s="7" t="s">
        <v>730</v>
      </c>
      <c r="G326" s="7" t="s">
        <v>896</v>
      </c>
      <c r="H326" s="7" t="s">
        <v>912</v>
      </c>
      <c r="I326" s="7" t="s">
        <v>827</v>
      </c>
      <c r="J326" s="7">
        <f t="shared" si="55"/>
        <v>7</v>
      </c>
      <c r="K326" s="9">
        <f t="shared" si="56"/>
        <v>70000</v>
      </c>
      <c r="L326" s="7">
        <v>3</v>
      </c>
      <c r="M326" s="9">
        <f t="shared" si="57"/>
        <v>210000</v>
      </c>
      <c r="N326" s="9">
        <f t="shared" si="58"/>
        <v>126000</v>
      </c>
      <c r="O326" s="7" t="s">
        <v>1006</v>
      </c>
      <c r="P326" s="10">
        <f t="shared" si="59"/>
        <v>7.0000000000000007E-2</v>
      </c>
      <c r="Q326" s="9">
        <f t="shared" si="60"/>
        <v>14700.000000000002</v>
      </c>
      <c r="R326" s="9">
        <f t="shared" si="61"/>
        <v>195300</v>
      </c>
      <c r="S326" s="9" t="str">
        <f t="shared" si="62"/>
        <v>Profit</v>
      </c>
      <c r="T326" s="7" t="str">
        <f t="shared" si="63"/>
        <v>Mar</v>
      </c>
      <c r="U326" s="7">
        <f t="shared" si="64"/>
        <v>2025</v>
      </c>
      <c r="V326" s="7" t="str">
        <f t="shared" si="65"/>
        <v>40-45</v>
      </c>
    </row>
    <row r="327" spans="1:22" x14ac:dyDescent="0.3">
      <c r="A327" s="7" t="s">
        <v>344</v>
      </c>
      <c r="B327" s="8" t="s">
        <v>1348</v>
      </c>
      <c r="C327" s="8">
        <v>60</v>
      </c>
      <c r="D327" s="8" t="s">
        <v>720</v>
      </c>
      <c r="E327" s="8" t="s">
        <v>724</v>
      </c>
      <c r="F327" s="7" t="s">
        <v>1736</v>
      </c>
      <c r="G327" s="7" t="s">
        <v>814</v>
      </c>
      <c r="H327" s="7" t="s">
        <v>788</v>
      </c>
      <c r="I327" s="7" t="s">
        <v>823</v>
      </c>
      <c r="J327" s="7">
        <f t="shared" si="55"/>
        <v>10</v>
      </c>
      <c r="K327" s="9">
        <f t="shared" si="56"/>
        <v>120000</v>
      </c>
      <c r="L327" s="7">
        <v>2</v>
      </c>
      <c r="M327" s="9">
        <f t="shared" si="57"/>
        <v>240000</v>
      </c>
      <c r="N327" s="9">
        <f t="shared" si="58"/>
        <v>156000</v>
      </c>
      <c r="O327" s="7" t="s">
        <v>1006</v>
      </c>
      <c r="P327" s="10">
        <f t="shared" si="59"/>
        <v>0.15</v>
      </c>
      <c r="Q327" s="9">
        <f t="shared" si="60"/>
        <v>36000</v>
      </c>
      <c r="R327" s="9">
        <f t="shared" si="61"/>
        <v>204000</v>
      </c>
      <c r="S327" s="9" t="str">
        <f t="shared" si="62"/>
        <v>Profit</v>
      </c>
      <c r="T327" s="7" t="str">
        <f t="shared" si="63"/>
        <v>Jan</v>
      </c>
      <c r="U327" s="7">
        <f t="shared" si="64"/>
        <v>2025</v>
      </c>
      <c r="V327" s="7" t="str">
        <f t="shared" si="65"/>
        <v>60-65</v>
      </c>
    </row>
    <row r="328" spans="1:22" x14ac:dyDescent="0.3">
      <c r="A328" s="7" t="s">
        <v>345</v>
      </c>
      <c r="B328" s="8" t="s">
        <v>1349</v>
      </c>
      <c r="C328" s="8">
        <v>31</v>
      </c>
      <c r="D328" s="8" t="s">
        <v>721</v>
      </c>
      <c r="E328" s="8" t="s">
        <v>722</v>
      </c>
      <c r="F328" s="7" t="s">
        <v>727</v>
      </c>
      <c r="G328" s="7" t="s">
        <v>888</v>
      </c>
      <c r="H328" s="7" t="s">
        <v>956</v>
      </c>
      <c r="I328" s="7" t="s">
        <v>953</v>
      </c>
      <c r="J328" s="7">
        <f t="shared" si="55"/>
        <v>5</v>
      </c>
      <c r="K328" s="9">
        <f t="shared" si="56"/>
        <v>60000</v>
      </c>
      <c r="L328" s="7">
        <v>2</v>
      </c>
      <c r="M328" s="9">
        <f t="shared" si="57"/>
        <v>120000</v>
      </c>
      <c r="N328" s="9">
        <f t="shared" si="58"/>
        <v>78000</v>
      </c>
      <c r="O328" s="7" t="s">
        <v>1007</v>
      </c>
      <c r="P328" s="10">
        <f t="shared" si="59"/>
        <v>0</v>
      </c>
      <c r="Q328" s="9">
        <f t="shared" si="60"/>
        <v>0</v>
      </c>
      <c r="R328" s="9">
        <f t="shared" si="61"/>
        <v>5000</v>
      </c>
      <c r="S328" s="9" t="str">
        <f t="shared" si="62"/>
        <v>Loss</v>
      </c>
      <c r="T328" s="7" t="str">
        <f t="shared" si="63"/>
        <v>Mar</v>
      </c>
      <c r="U328" s="7">
        <f t="shared" si="64"/>
        <v>2025</v>
      </c>
      <c r="V328" s="7" t="str">
        <f t="shared" si="65"/>
        <v>30-35</v>
      </c>
    </row>
    <row r="329" spans="1:22" x14ac:dyDescent="0.3">
      <c r="A329" s="7" t="s">
        <v>346</v>
      </c>
      <c r="B329" s="8" t="s">
        <v>1350</v>
      </c>
      <c r="C329" s="8">
        <v>34</v>
      </c>
      <c r="D329" s="8" t="s">
        <v>720</v>
      </c>
      <c r="E329" s="8" t="s">
        <v>723</v>
      </c>
      <c r="F329" s="7" t="s">
        <v>732</v>
      </c>
      <c r="G329" s="7" t="s">
        <v>759</v>
      </c>
      <c r="H329" s="7" t="s">
        <v>875</v>
      </c>
      <c r="I329" s="7" t="s">
        <v>893</v>
      </c>
      <c r="J329" s="7">
        <f t="shared" si="55"/>
        <v>7</v>
      </c>
      <c r="K329" s="9">
        <f t="shared" si="56"/>
        <v>70000</v>
      </c>
      <c r="L329" s="7">
        <v>1</v>
      </c>
      <c r="M329" s="9">
        <f t="shared" si="57"/>
        <v>70000</v>
      </c>
      <c r="N329" s="9">
        <f t="shared" si="58"/>
        <v>42000</v>
      </c>
      <c r="O329" s="7" t="s">
        <v>1007</v>
      </c>
      <c r="P329" s="10">
        <f t="shared" si="59"/>
        <v>0</v>
      </c>
      <c r="Q329" s="9">
        <f t="shared" si="60"/>
        <v>0</v>
      </c>
      <c r="R329" s="9">
        <f t="shared" si="61"/>
        <v>5000</v>
      </c>
      <c r="S329" s="9" t="str">
        <f t="shared" si="62"/>
        <v>Loss</v>
      </c>
      <c r="T329" s="7" t="str">
        <f t="shared" si="63"/>
        <v>Jul</v>
      </c>
      <c r="U329" s="7">
        <f t="shared" si="64"/>
        <v>2025</v>
      </c>
      <c r="V329" s="7" t="str">
        <f t="shared" si="65"/>
        <v>30-35</v>
      </c>
    </row>
    <row r="330" spans="1:22" x14ac:dyDescent="0.3">
      <c r="A330" s="7" t="s">
        <v>347</v>
      </c>
      <c r="B330" s="8" t="s">
        <v>1351</v>
      </c>
      <c r="C330" s="8">
        <v>50</v>
      </c>
      <c r="D330" s="8" t="s">
        <v>720</v>
      </c>
      <c r="E330" s="8" t="s">
        <v>723</v>
      </c>
      <c r="F330" s="7" t="s">
        <v>731</v>
      </c>
      <c r="G330" s="7" t="s">
        <v>875</v>
      </c>
      <c r="H330" s="7" t="s">
        <v>841</v>
      </c>
      <c r="I330" s="7" t="s">
        <v>989</v>
      </c>
      <c r="J330" s="7">
        <f t="shared" si="55"/>
        <v>7</v>
      </c>
      <c r="K330" s="9">
        <f t="shared" si="56"/>
        <v>70000</v>
      </c>
      <c r="L330" s="7">
        <v>4</v>
      </c>
      <c r="M330" s="9">
        <f t="shared" si="57"/>
        <v>280000</v>
      </c>
      <c r="N330" s="9">
        <f t="shared" si="58"/>
        <v>168000</v>
      </c>
      <c r="O330" s="7" t="s">
        <v>1007</v>
      </c>
      <c r="P330" s="10">
        <f t="shared" si="59"/>
        <v>0</v>
      </c>
      <c r="Q330" s="9">
        <f t="shared" si="60"/>
        <v>0</v>
      </c>
      <c r="R330" s="9">
        <f t="shared" si="61"/>
        <v>5000</v>
      </c>
      <c r="S330" s="9" t="str">
        <f t="shared" si="62"/>
        <v>Loss</v>
      </c>
      <c r="T330" s="7" t="str">
        <f t="shared" si="63"/>
        <v>Aug</v>
      </c>
      <c r="U330" s="7">
        <f t="shared" si="64"/>
        <v>2025</v>
      </c>
      <c r="V330" s="7" t="str">
        <f t="shared" si="65"/>
        <v>50-55</v>
      </c>
    </row>
    <row r="331" spans="1:22" x14ac:dyDescent="0.3">
      <c r="A331" s="7" t="s">
        <v>348</v>
      </c>
      <c r="B331" s="8" t="s">
        <v>1352</v>
      </c>
      <c r="C331" s="8">
        <v>46</v>
      </c>
      <c r="D331" s="8" t="s">
        <v>720</v>
      </c>
      <c r="E331" s="8" t="s">
        <v>723</v>
      </c>
      <c r="F331" s="7" t="s">
        <v>728</v>
      </c>
      <c r="G331" s="7" t="s">
        <v>738</v>
      </c>
      <c r="H331" s="7" t="s">
        <v>750</v>
      </c>
      <c r="I331" s="7" t="s">
        <v>745</v>
      </c>
      <c r="J331" s="7">
        <f t="shared" si="55"/>
        <v>7</v>
      </c>
      <c r="K331" s="9">
        <f t="shared" si="56"/>
        <v>70000</v>
      </c>
      <c r="L331" s="7">
        <v>2</v>
      </c>
      <c r="M331" s="9">
        <f t="shared" si="57"/>
        <v>140000</v>
      </c>
      <c r="N331" s="9">
        <f t="shared" si="58"/>
        <v>84000</v>
      </c>
      <c r="O331" s="7" t="s">
        <v>1006</v>
      </c>
      <c r="P331" s="10">
        <f t="shared" si="59"/>
        <v>7.0000000000000007E-2</v>
      </c>
      <c r="Q331" s="9">
        <f t="shared" si="60"/>
        <v>9800.0000000000018</v>
      </c>
      <c r="R331" s="9">
        <f t="shared" si="61"/>
        <v>130200</v>
      </c>
      <c r="S331" s="9" t="str">
        <f t="shared" si="62"/>
        <v>Profit</v>
      </c>
      <c r="T331" s="7" t="str">
        <f t="shared" si="63"/>
        <v>May</v>
      </c>
      <c r="U331" s="7">
        <f t="shared" si="64"/>
        <v>2025</v>
      </c>
      <c r="V331" s="7" t="str">
        <f t="shared" si="65"/>
        <v>45-50</v>
      </c>
    </row>
    <row r="332" spans="1:22" x14ac:dyDescent="0.3">
      <c r="A332" s="7" t="s">
        <v>349</v>
      </c>
      <c r="B332" s="8" t="s">
        <v>1353</v>
      </c>
      <c r="C332" s="8">
        <v>43</v>
      </c>
      <c r="D332" s="8" t="s">
        <v>721</v>
      </c>
      <c r="E332" s="8" t="s">
        <v>726</v>
      </c>
      <c r="F332" s="7" t="s">
        <v>728</v>
      </c>
      <c r="G332" s="7" t="s">
        <v>770</v>
      </c>
      <c r="H332" s="7" t="s">
        <v>808</v>
      </c>
      <c r="I332" s="7" t="s">
        <v>791</v>
      </c>
      <c r="J332" s="7">
        <f t="shared" si="55"/>
        <v>4</v>
      </c>
      <c r="K332" s="9">
        <f t="shared" si="56"/>
        <v>18000</v>
      </c>
      <c r="L332" s="7">
        <v>4</v>
      </c>
      <c r="M332" s="9">
        <f t="shared" si="57"/>
        <v>72000</v>
      </c>
      <c r="N332" s="9">
        <f t="shared" si="58"/>
        <v>36000</v>
      </c>
      <c r="O332" s="7" t="s">
        <v>1006</v>
      </c>
      <c r="P332" s="10">
        <f t="shared" si="59"/>
        <v>0.05</v>
      </c>
      <c r="Q332" s="9">
        <f t="shared" si="60"/>
        <v>3600</v>
      </c>
      <c r="R332" s="9">
        <f t="shared" si="61"/>
        <v>68400</v>
      </c>
      <c r="S332" s="9" t="str">
        <f t="shared" si="62"/>
        <v>Profit</v>
      </c>
      <c r="T332" s="7" t="str">
        <f t="shared" si="63"/>
        <v>Jan</v>
      </c>
      <c r="U332" s="7">
        <f t="shared" si="64"/>
        <v>2025</v>
      </c>
      <c r="V332" s="7" t="str">
        <f t="shared" si="65"/>
        <v>40-45</v>
      </c>
    </row>
    <row r="333" spans="1:22" x14ac:dyDescent="0.3">
      <c r="A333" s="7" t="s">
        <v>350</v>
      </c>
      <c r="B333" s="8" t="s">
        <v>1354</v>
      </c>
      <c r="C333" s="8">
        <v>51</v>
      </c>
      <c r="D333" s="8" t="s">
        <v>720</v>
      </c>
      <c r="E333" s="8" t="s">
        <v>724</v>
      </c>
      <c r="F333" s="7" t="s">
        <v>735</v>
      </c>
      <c r="G333" s="7" t="s">
        <v>788</v>
      </c>
      <c r="H333" s="7" t="s">
        <v>771</v>
      </c>
      <c r="I333" s="7" t="s">
        <v>754</v>
      </c>
      <c r="J333" s="7">
        <f t="shared" si="55"/>
        <v>10</v>
      </c>
      <c r="K333" s="9">
        <f t="shared" si="56"/>
        <v>120000</v>
      </c>
      <c r="L333" s="7">
        <v>4</v>
      </c>
      <c r="M333" s="9">
        <f t="shared" si="57"/>
        <v>480000</v>
      </c>
      <c r="N333" s="9">
        <f t="shared" si="58"/>
        <v>312000</v>
      </c>
      <c r="O333" s="7" t="s">
        <v>1006</v>
      </c>
      <c r="P333" s="10">
        <f t="shared" si="59"/>
        <v>0.15</v>
      </c>
      <c r="Q333" s="9">
        <f t="shared" si="60"/>
        <v>72000</v>
      </c>
      <c r="R333" s="9">
        <f t="shared" si="61"/>
        <v>408000</v>
      </c>
      <c r="S333" s="9" t="str">
        <f t="shared" si="62"/>
        <v>Profit</v>
      </c>
      <c r="T333" s="7" t="str">
        <f t="shared" si="63"/>
        <v>Feb</v>
      </c>
      <c r="U333" s="7">
        <f t="shared" si="64"/>
        <v>2025</v>
      </c>
      <c r="V333" s="7" t="str">
        <f t="shared" si="65"/>
        <v>50-55</v>
      </c>
    </row>
    <row r="334" spans="1:22" x14ac:dyDescent="0.3">
      <c r="A334" s="7" t="s">
        <v>351</v>
      </c>
      <c r="B334" s="8" t="s">
        <v>1355</v>
      </c>
      <c r="C334" s="8">
        <v>51</v>
      </c>
      <c r="D334" s="8" t="s">
        <v>720</v>
      </c>
      <c r="E334" s="8" t="s">
        <v>724</v>
      </c>
      <c r="F334" s="7" t="s">
        <v>729</v>
      </c>
      <c r="G334" s="7" t="s">
        <v>910</v>
      </c>
      <c r="H334" s="7" t="s">
        <v>913</v>
      </c>
      <c r="I334" s="7" t="s">
        <v>780</v>
      </c>
      <c r="J334" s="7">
        <f t="shared" si="55"/>
        <v>10</v>
      </c>
      <c r="K334" s="9">
        <f t="shared" si="56"/>
        <v>120000</v>
      </c>
      <c r="L334" s="7">
        <v>4</v>
      </c>
      <c r="M334" s="9">
        <f t="shared" si="57"/>
        <v>480000</v>
      </c>
      <c r="N334" s="9">
        <f t="shared" si="58"/>
        <v>312000</v>
      </c>
      <c r="O334" s="7" t="s">
        <v>1006</v>
      </c>
      <c r="P334" s="10">
        <f t="shared" si="59"/>
        <v>0.15</v>
      </c>
      <c r="Q334" s="9">
        <f t="shared" si="60"/>
        <v>72000</v>
      </c>
      <c r="R334" s="9">
        <f t="shared" si="61"/>
        <v>408000</v>
      </c>
      <c r="S334" s="9" t="str">
        <f t="shared" si="62"/>
        <v>Profit</v>
      </c>
      <c r="T334" s="7" t="str">
        <f t="shared" si="63"/>
        <v>Jun</v>
      </c>
      <c r="U334" s="7">
        <f t="shared" si="64"/>
        <v>2025</v>
      </c>
      <c r="V334" s="7" t="str">
        <f t="shared" si="65"/>
        <v>50-55</v>
      </c>
    </row>
    <row r="335" spans="1:22" x14ac:dyDescent="0.3">
      <c r="A335" s="7" t="s">
        <v>352</v>
      </c>
      <c r="B335" s="8" t="s">
        <v>1356</v>
      </c>
      <c r="C335" s="8">
        <v>50</v>
      </c>
      <c r="D335" s="8" t="s">
        <v>721</v>
      </c>
      <c r="E335" s="8" t="s">
        <v>724</v>
      </c>
      <c r="F335" s="7" t="s">
        <v>734</v>
      </c>
      <c r="G335" s="7" t="s">
        <v>904</v>
      </c>
      <c r="H335" s="7" t="s">
        <v>895</v>
      </c>
      <c r="I335" s="7" t="s">
        <v>997</v>
      </c>
      <c r="J335" s="7">
        <f t="shared" si="55"/>
        <v>10</v>
      </c>
      <c r="K335" s="9">
        <f t="shared" si="56"/>
        <v>120000</v>
      </c>
      <c r="L335" s="7">
        <v>1</v>
      </c>
      <c r="M335" s="9">
        <f t="shared" si="57"/>
        <v>120000</v>
      </c>
      <c r="N335" s="9">
        <f t="shared" si="58"/>
        <v>78000</v>
      </c>
      <c r="O335" s="7" t="s">
        <v>1006</v>
      </c>
      <c r="P335" s="10">
        <f t="shared" si="59"/>
        <v>0.15</v>
      </c>
      <c r="Q335" s="9">
        <f t="shared" si="60"/>
        <v>18000</v>
      </c>
      <c r="R335" s="9">
        <f t="shared" si="61"/>
        <v>102000</v>
      </c>
      <c r="S335" s="9" t="str">
        <f t="shared" si="62"/>
        <v>Profit</v>
      </c>
      <c r="T335" s="7" t="str">
        <f t="shared" si="63"/>
        <v>Aug</v>
      </c>
      <c r="U335" s="7">
        <f t="shared" si="64"/>
        <v>2025</v>
      </c>
      <c r="V335" s="7" t="str">
        <f t="shared" si="65"/>
        <v>50-55</v>
      </c>
    </row>
    <row r="336" spans="1:22" x14ac:dyDescent="0.3">
      <c r="A336" s="7" t="s">
        <v>353</v>
      </c>
      <c r="B336" s="8" t="s">
        <v>1357</v>
      </c>
      <c r="C336" s="8">
        <v>26</v>
      </c>
      <c r="D336" s="8" t="s">
        <v>720</v>
      </c>
      <c r="E336" s="8" t="s">
        <v>725</v>
      </c>
      <c r="F336" s="7" t="s">
        <v>728</v>
      </c>
      <c r="G336" s="7" t="s">
        <v>911</v>
      </c>
      <c r="H336" s="7" t="s">
        <v>927</v>
      </c>
      <c r="I336" s="7" t="s">
        <v>910</v>
      </c>
      <c r="J336" s="7">
        <f t="shared" si="55"/>
        <v>8</v>
      </c>
      <c r="K336" s="9">
        <f t="shared" si="56"/>
        <v>80000</v>
      </c>
      <c r="L336" s="7">
        <v>2</v>
      </c>
      <c r="M336" s="9">
        <f t="shared" si="57"/>
        <v>160000</v>
      </c>
      <c r="N336" s="9">
        <f t="shared" si="58"/>
        <v>96000</v>
      </c>
      <c r="O336" s="7" t="s">
        <v>1007</v>
      </c>
      <c r="P336" s="10">
        <f t="shared" si="59"/>
        <v>0</v>
      </c>
      <c r="Q336" s="9">
        <f t="shared" si="60"/>
        <v>0</v>
      </c>
      <c r="R336" s="9">
        <f t="shared" si="61"/>
        <v>5000</v>
      </c>
      <c r="S336" s="9" t="str">
        <f t="shared" si="62"/>
        <v>Loss</v>
      </c>
      <c r="T336" s="7" t="str">
        <f t="shared" si="63"/>
        <v>May</v>
      </c>
      <c r="U336" s="7">
        <f t="shared" si="64"/>
        <v>2025</v>
      </c>
      <c r="V336" s="7" t="str">
        <f t="shared" si="65"/>
        <v>25-30</v>
      </c>
    </row>
    <row r="337" spans="1:22" x14ac:dyDescent="0.3">
      <c r="A337" s="7" t="s">
        <v>354</v>
      </c>
      <c r="B337" s="8" t="s">
        <v>1358</v>
      </c>
      <c r="C337" s="8">
        <v>27</v>
      </c>
      <c r="D337" s="8" t="s">
        <v>721</v>
      </c>
      <c r="E337" s="8" t="s">
        <v>725</v>
      </c>
      <c r="F337" s="7" t="s">
        <v>734</v>
      </c>
      <c r="G337" s="7" t="s">
        <v>900</v>
      </c>
      <c r="H337" s="7" t="s">
        <v>989</v>
      </c>
      <c r="I337" s="7" t="s">
        <v>998</v>
      </c>
      <c r="J337" s="7">
        <f t="shared" si="55"/>
        <v>8</v>
      </c>
      <c r="K337" s="9">
        <f t="shared" si="56"/>
        <v>80000</v>
      </c>
      <c r="L337" s="7">
        <v>2</v>
      </c>
      <c r="M337" s="9">
        <f t="shared" si="57"/>
        <v>160000</v>
      </c>
      <c r="N337" s="9">
        <f t="shared" si="58"/>
        <v>96000</v>
      </c>
      <c r="O337" s="7" t="s">
        <v>1007</v>
      </c>
      <c r="P337" s="10">
        <f t="shared" si="59"/>
        <v>0</v>
      </c>
      <c r="Q337" s="9">
        <f t="shared" si="60"/>
        <v>0</v>
      </c>
      <c r="R337" s="9">
        <f t="shared" si="61"/>
        <v>5000</v>
      </c>
      <c r="S337" s="9" t="str">
        <f t="shared" si="62"/>
        <v>Loss</v>
      </c>
      <c r="T337" s="7" t="str">
        <f t="shared" si="63"/>
        <v>Aug</v>
      </c>
      <c r="U337" s="7">
        <f t="shared" si="64"/>
        <v>2025</v>
      </c>
      <c r="V337" s="7" t="str">
        <f t="shared" si="65"/>
        <v>25-30</v>
      </c>
    </row>
    <row r="338" spans="1:22" x14ac:dyDescent="0.3">
      <c r="A338" s="7" t="s">
        <v>355</v>
      </c>
      <c r="B338" s="8" t="s">
        <v>1359</v>
      </c>
      <c r="C338" s="8">
        <v>55</v>
      </c>
      <c r="D338" s="8" t="s">
        <v>721</v>
      </c>
      <c r="E338" s="8" t="s">
        <v>724</v>
      </c>
      <c r="F338" s="7" t="s">
        <v>1735</v>
      </c>
      <c r="G338" s="7" t="s">
        <v>791</v>
      </c>
      <c r="H338" s="7" t="s">
        <v>773</v>
      </c>
      <c r="I338" s="7" t="s">
        <v>798</v>
      </c>
      <c r="J338" s="7">
        <f t="shared" si="55"/>
        <v>10</v>
      </c>
      <c r="K338" s="9">
        <f t="shared" si="56"/>
        <v>120000</v>
      </c>
      <c r="L338" s="7">
        <v>2</v>
      </c>
      <c r="M338" s="9">
        <f t="shared" si="57"/>
        <v>240000</v>
      </c>
      <c r="N338" s="9">
        <f t="shared" si="58"/>
        <v>156000</v>
      </c>
      <c r="O338" s="7" t="s">
        <v>1007</v>
      </c>
      <c r="P338" s="10">
        <f t="shared" si="59"/>
        <v>0</v>
      </c>
      <c r="Q338" s="9">
        <f t="shared" si="60"/>
        <v>0</v>
      </c>
      <c r="R338" s="9">
        <f t="shared" si="61"/>
        <v>5000</v>
      </c>
      <c r="S338" s="9" t="str">
        <f t="shared" si="62"/>
        <v>Loss</v>
      </c>
      <c r="T338" s="7" t="str">
        <f t="shared" si="63"/>
        <v>Jan</v>
      </c>
      <c r="U338" s="7">
        <f t="shared" si="64"/>
        <v>2025</v>
      </c>
      <c r="V338" s="7" t="str">
        <f t="shared" si="65"/>
        <v>55-60</v>
      </c>
    </row>
    <row r="339" spans="1:22" x14ac:dyDescent="0.3">
      <c r="A339" s="7" t="s">
        <v>356</v>
      </c>
      <c r="B339" s="8" t="s">
        <v>1360</v>
      </c>
      <c r="C339" s="8">
        <v>37</v>
      </c>
      <c r="D339" s="8" t="s">
        <v>721</v>
      </c>
      <c r="E339" s="8" t="s">
        <v>722</v>
      </c>
      <c r="F339" s="7" t="s">
        <v>734</v>
      </c>
      <c r="G339" s="7" t="s">
        <v>873</v>
      </c>
      <c r="H339" s="7" t="s">
        <v>830</v>
      </c>
      <c r="I339" s="7" t="s">
        <v>980</v>
      </c>
      <c r="J339" s="7">
        <f t="shared" si="55"/>
        <v>5</v>
      </c>
      <c r="K339" s="9">
        <f t="shared" si="56"/>
        <v>60000</v>
      </c>
      <c r="L339" s="7">
        <v>3</v>
      </c>
      <c r="M339" s="9">
        <f t="shared" si="57"/>
        <v>180000</v>
      </c>
      <c r="N339" s="9">
        <f t="shared" si="58"/>
        <v>117000</v>
      </c>
      <c r="O339" s="7" t="s">
        <v>1006</v>
      </c>
      <c r="P339" s="10">
        <f t="shared" si="59"/>
        <v>0.1</v>
      </c>
      <c r="Q339" s="9">
        <f t="shared" si="60"/>
        <v>18000</v>
      </c>
      <c r="R339" s="9">
        <f t="shared" si="61"/>
        <v>162000</v>
      </c>
      <c r="S339" s="9" t="str">
        <f t="shared" si="62"/>
        <v>Profit</v>
      </c>
      <c r="T339" s="7" t="str">
        <f t="shared" si="63"/>
        <v>Jul</v>
      </c>
      <c r="U339" s="7">
        <f t="shared" si="64"/>
        <v>2025</v>
      </c>
      <c r="V339" s="7" t="str">
        <f t="shared" si="65"/>
        <v>35-40</v>
      </c>
    </row>
    <row r="340" spans="1:22" x14ac:dyDescent="0.3">
      <c r="A340" s="7" t="s">
        <v>357</v>
      </c>
      <c r="B340" s="8" t="s">
        <v>1361</v>
      </c>
      <c r="C340" s="8">
        <v>53</v>
      </c>
      <c r="D340" s="8" t="s">
        <v>720</v>
      </c>
      <c r="E340" s="8" t="s">
        <v>722</v>
      </c>
      <c r="F340" s="7" t="s">
        <v>728</v>
      </c>
      <c r="G340" s="7" t="s">
        <v>831</v>
      </c>
      <c r="H340" s="7" t="s">
        <v>856</v>
      </c>
      <c r="I340" s="7" t="s">
        <v>946</v>
      </c>
      <c r="J340" s="7">
        <f t="shared" si="55"/>
        <v>5</v>
      </c>
      <c r="K340" s="9">
        <f t="shared" si="56"/>
        <v>60000</v>
      </c>
      <c r="L340" s="7">
        <v>2</v>
      </c>
      <c r="M340" s="9">
        <f t="shared" si="57"/>
        <v>120000</v>
      </c>
      <c r="N340" s="9">
        <f t="shared" si="58"/>
        <v>78000</v>
      </c>
      <c r="O340" s="7" t="s">
        <v>1006</v>
      </c>
      <c r="P340" s="10">
        <f t="shared" si="59"/>
        <v>0.1</v>
      </c>
      <c r="Q340" s="9">
        <f t="shared" si="60"/>
        <v>12000</v>
      </c>
      <c r="R340" s="9">
        <f t="shared" si="61"/>
        <v>108000</v>
      </c>
      <c r="S340" s="9" t="str">
        <f t="shared" si="62"/>
        <v>Profit</v>
      </c>
      <c r="T340" s="7" t="str">
        <f t="shared" si="63"/>
        <v>Feb</v>
      </c>
      <c r="U340" s="7">
        <f t="shared" si="64"/>
        <v>2025</v>
      </c>
      <c r="V340" s="7" t="str">
        <f t="shared" si="65"/>
        <v>50-55</v>
      </c>
    </row>
    <row r="341" spans="1:22" x14ac:dyDescent="0.3">
      <c r="A341" s="7" t="s">
        <v>358</v>
      </c>
      <c r="B341" s="8" t="s">
        <v>1362</v>
      </c>
      <c r="C341" s="8">
        <v>37</v>
      </c>
      <c r="D341" s="8" t="s">
        <v>721</v>
      </c>
      <c r="E341" s="8" t="s">
        <v>726</v>
      </c>
      <c r="F341" s="7" t="s">
        <v>1731</v>
      </c>
      <c r="G341" s="7" t="s">
        <v>818</v>
      </c>
      <c r="H341" s="7" t="s">
        <v>747</v>
      </c>
      <c r="I341" s="7" t="s">
        <v>924</v>
      </c>
      <c r="J341" s="7">
        <f t="shared" si="55"/>
        <v>4</v>
      </c>
      <c r="K341" s="9">
        <f t="shared" si="56"/>
        <v>18000</v>
      </c>
      <c r="L341" s="7">
        <v>1</v>
      </c>
      <c r="M341" s="9">
        <f t="shared" si="57"/>
        <v>18000</v>
      </c>
      <c r="N341" s="9">
        <f t="shared" si="58"/>
        <v>9000</v>
      </c>
      <c r="O341" s="7" t="s">
        <v>1007</v>
      </c>
      <c r="P341" s="10">
        <f t="shared" si="59"/>
        <v>0</v>
      </c>
      <c r="Q341" s="9">
        <f t="shared" si="60"/>
        <v>0</v>
      </c>
      <c r="R341" s="9">
        <f t="shared" si="61"/>
        <v>5000</v>
      </c>
      <c r="S341" s="9" t="str">
        <f t="shared" si="62"/>
        <v>Loss</v>
      </c>
      <c r="T341" s="7" t="str">
        <f t="shared" si="63"/>
        <v>Jun</v>
      </c>
      <c r="U341" s="7">
        <f t="shared" si="64"/>
        <v>2025</v>
      </c>
      <c r="V341" s="7" t="str">
        <f t="shared" si="65"/>
        <v>35-40</v>
      </c>
    </row>
    <row r="342" spans="1:22" x14ac:dyDescent="0.3">
      <c r="A342" s="7" t="s">
        <v>359</v>
      </c>
      <c r="B342" s="8" t="s">
        <v>1363</v>
      </c>
      <c r="C342" s="8">
        <v>26</v>
      </c>
      <c r="D342" s="8" t="s">
        <v>721</v>
      </c>
      <c r="E342" s="8" t="s">
        <v>725</v>
      </c>
      <c r="F342" s="7" t="s">
        <v>1730</v>
      </c>
      <c r="G342" s="7" t="s">
        <v>779</v>
      </c>
      <c r="H342" s="7" t="s">
        <v>990</v>
      </c>
      <c r="I342" s="7" t="s">
        <v>820</v>
      </c>
      <c r="J342" s="7">
        <f t="shared" si="55"/>
        <v>8</v>
      </c>
      <c r="K342" s="9">
        <f t="shared" si="56"/>
        <v>80000</v>
      </c>
      <c r="L342" s="7">
        <v>2</v>
      </c>
      <c r="M342" s="9">
        <f t="shared" si="57"/>
        <v>160000</v>
      </c>
      <c r="N342" s="9">
        <f t="shared" si="58"/>
        <v>96000</v>
      </c>
      <c r="O342" s="7" t="s">
        <v>1006</v>
      </c>
      <c r="P342" s="10">
        <f t="shared" si="59"/>
        <v>0.12</v>
      </c>
      <c r="Q342" s="9">
        <f t="shared" si="60"/>
        <v>19200</v>
      </c>
      <c r="R342" s="9">
        <f t="shared" si="61"/>
        <v>140800</v>
      </c>
      <c r="S342" s="9" t="str">
        <f t="shared" si="62"/>
        <v>Profit</v>
      </c>
      <c r="T342" s="7" t="str">
        <f t="shared" si="63"/>
        <v>May</v>
      </c>
      <c r="U342" s="7">
        <f t="shared" si="64"/>
        <v>2025</v>
      </c>
      <c r="V342" s="7" t="str">
        <f t="shared" si="65"/>
        <v>25-30</v>
      </c>
    </row>
    <row r="343" spans="1:22" x14ac:dyDescent="0.3">
      <c r="A343" s="7" t="s">
        <v>360</v>
      </c>
      <c r="B343" s="8" t="s">
        <v>1364</v>
      </c>
      <c r="C343" s="8">
        <v>38</v>
      </c>
      <c r="D343" s="8" t="s">
        <v>720</v>
      </c>
      <c r="E343" s="8" t="s">
        <v>724</v>
      </c>
      <c r="F343" s="7" t="s">
        <v>735</v>
      </c>
      <c r="G343" s="7" t="s">
        <v>912</v>
      </c>
      <c r="H343" s="7" t="s">
        <v>953</v>
      </c>
      <c r="I343" s="7" t="s">
        <v>846</v>
      </c>
      <c r="J343" s="7">
        <f t="shared" si="55"/>
        <v>10</v>
      </c>
      <c r="K343" s="9">
        <f t="shared" si="56"/>
        <v>120000</v>
      </c>
      <c r="L343" s="7">
        <v>3</v>
      </c>
      <c r="M343" s="9">
        <f t="shared" si="57"/>
        <v>360000</v>
      </c>
      <c r="N343" s="9">
        <f t="shared" si="58"/>
        <v>234000</v>
      </c>
      <c r="O343" s="7" t="s">
        <v>1007</v>
      </c>
      <c r="P343" s="10">
        <f t="shared" si="59"/>
        <v>0</v>
      </c>
      <c r="Q343" s="9">
        <f t="shared" si="60"/>
        <v>0</v>
      </c>
      <c r="R343" s="9">
        <f t="shared" si="61"/>
        <v>5000</v>
      </c>
      <c r="S343" s="9" t="str">
        <f t="shared" si="62"/>
        <v>Loss</v>
      </c>
      <c r="T343" s="7" t="str">
        <f t="shared" si="63"/>
        <v>Apr</v>
      </c>
      <c r="U343" s="7">
        <f t="shared" si="64"/>
        <v>2025</v>
      </c>
      <c r="V343" s="7" t="str">
        <f t="shared" si="65"/>
        <v>35-40</v>
      </c>
    </row>
    <row r="344" spans="1:22" x14ac:dyDescent="0.3">
      <c r="A344" s="7" t="s">
        <v>361</v>
      </c>
      <c r="B344" s="8" t="s">
        <v>1365</v>
      </c>
      <c r="C344" s="8">
        <v>47</v>
      </c>
      <c r="D344" s="8" t="s">
        <v>720</v>
      </c>
      <c r="E344" s="8" t="s">
        <v>722</v>
      </c>
      <c r="F344" s="7" t="s">
        <v>1730</v>
      </c>
      <c r="G344" s="7" t="s">
        <v>913</v>
      </c>
      <c r="H344" s="7" t="s">
        <v>984</v>
      </c>
      <c r="I344" s="7" t="s">
        <v>955</v>
      </c>
      <c r="J344" s="7">
        <f t="shared" si="55"/>
        <v>5</v>
      </c>
      <c r="K344" s="9">
        <f t="shared" si="56"/>
        <v>60000</v>
      </c>
      <c r="L344" s="7">
        <v>3</v>
      </c>
      <c r="M344" s="9">
        <f t="shared" si="57"/>
        <v>180000</v>
      </c>
      <c r="N344" s="9">
        <f t="shared" si="58"/>
        <v>117000</v>
      </c>
      <c r="O344" s="7" t="s">
        <v>1007</v>
      </c>
      <c r="P344" s="10">
        <f t="shared" si="59"/>
        <v>0</v>
      </c>
      <c r="Q344" s="9">
        <f t="shared" si="60"/>
        <v>0</v>
      </c>
      <c r="R344" s="9">
        <f t="shared" si="61"/>
        <v>5000</v>
      </c>
      <c r="S344" s="9" t="str">
        <f t="shared" si="62"/>
        <v>Loss</v>
      </c>
      <c r="T344" s="7" t="str">
        <f t="shared" si="63"/>
        <v>Jul</v>
      </c>
      <c r="U344" s="7">
        <f t="shared" si="64"/>
        <v>2025</v>
      </c>
      <c r="V344" s="7" t="str">
        <f t="shared" si="65"/>
        <v>45-50</v>
      </c>
    </row>
    <row r="345" spans="1:22" x14ac:dyDescent="0.3">
      <c r="A345" s="7" t="s">
        <v>362</v>
      </c>
      <c r="B345" s="8" t="s">
        <v>1366</v>
      </c>
      <c r="C345" s="8">
        <v>40</v>
      </c>
      <c r="D345" s="8" t="s">
        <v>721</v>
      </c>
      <c r="E345" s="8" t="s">
        <v>722</v>
      </c>
      <c r="F345" s="7" t="s">
        <v>731</v>
      </c>
      <c r="G345" s="7" t="s">
        <v>784</v>
      </c>
      <c r="H345" s="7" t="s">
        <v>847</v>
      </c>
      <c r="I345" s="7" t="s">
        <v>872</v>
      </c>
      <c r="J345" s="7">
        <f t="shared" si="55"/>
        <v>5</v>
      </c>
      <c r="K345" s="9">
        <f t="shared" si="56"/>
        <v>60000</v>
      </c>
      <c r="L345" s="7">
        <v>4</v>
      </c>
      <c r="M345" s="9">
        <f t="shared" si="57"/>
        <v>240000</v>
      </c>
      <c r="N345" s="9">
        <f t="shared" si="58"/>
        <v>156000</v>
      </c>
      <c r="O345" s="7" t="s">
        <v>1006</v>
      </c>
      <c r="P345" s="10">
        <f t="shared" si="59"/>
        <v>0.1</v>
      </c>
      <c r="Q345" s="9">
        <f t="shared" si="60"/>
        <v>24000</v>
      </c>
      <c r="R345" s="9">
        <f t="shared" si="61"/>
        <v>216000</v>
      </c>
      <c r="S345" s="9" t="str">
        <f t="shared" si="62"/>
        <v>Profit</v>
      </c>
      <c r="T345" s="7" t="str">
        <f t="shared" si="63"/>
        <v>Jun</v>
      </c>
      <c r="U345" s="7">
        <f t="shared" si="64"/>
        <v>2025</v>
      </c>
      <c r="V345" s="7" t="str">
        <f t="shared" si="65"/>
        <v>40-45</v>
      </c>
    </row>
    <row r="346" spans="1:22" x14ac:dyDescent="0.3">
      <c r="A346" s="7" t="s">
        <v>363</v>
      </c>
      <c r="B346" s="8" t="s">
        <v>1367</v>
      </c>
      <c r="C346" s="8">
        <v>37</v>
      </c>
      <c r="D346" s="8" t="s">
        <v>721</v>
      </c>
      <c r="E346" s="8" t="s">
        <v>726</v>
      </c>
      <c r="F346" s="7" t="s">
        <v>731</v>
      </c>
      <c r="G346" s="7" t="s">
        <v>902</v>
      </c>
      <c r="H346" s="7" t="s">
        <v>876</v>
      </c>
      <c r="I346" s="7" t="s">
        <v>814</v>
      </c>
      <c r="J346" s="7">
        <f t="shared" si="55"/>
        <v>4</v>
      </c>
      <c r="K346" s="9">
        <f t="shared" si="56"/>
        <v>18000</v>
      </c>
      <c r="L346" s="7">
        <v>3</v>
      </c>
      <c r="M346" s="9">
        <f t="shared" si="57"/>
        <v>54000</v>
      </c>
      <c r="N346" s="9">
        <f t="shared" si="58"/>
        <v>27000</v>
      </c>
      <c r="O346" s="7" t="s">
        <v>1006</v>
      </c>
      <c r="P346" s="10">
        <f t="shared" si="59"/>
        <v>0.05</v>
      </c>
      <c r="Q346" s="9">
        <f t="shared" si="60"/>
        <v>2700</v>
      </c>
      <c r="R346" s="9">
        <f t="shared" si="61"/>
        <v>51300</v>
      </c>
      <c r="S346" s="9" t="str">
        <f t="shared" si="62"/>
        <v>Profit</v>
      </c>
      <c r="T346" s="7" t="str">
        <f t="shared" si="63"/>
        <v>Jan</v>
      </c>
      <c r="U346" s="7">
        <f t="shared" si="64"/>
        <v>2025</v>
      </c>
      <c r="V346" s="7" t="str">
        <f t="shared" si="65"/>
        <v>35-40</v>
      </c>
    </row>
    <row r="347" spans="1:22" x14ac:dyDescent="0.3">
      <c r="A347" s="7" t="s">
        <v>364</v>
      </c>
      <c r="B347" s="8" t="s">
        <v>1368</v>
      </c>
      <c r="C347" s="8">
        <v>42</v>
      </c>
      <c r="D347" s="8" t="s">
        <v>721</v>
      </c>
      <c r="E347" s="8" t="s">
        <v>724</v>
      </c>
      <c r="F347" s="7" t="s">
        <v>734</v>
      </c>
      <c r="G347" s="7" t="s">
        <v>774</v>
      </c>
      <c r="H347" s="7" t="s">
        <v>987</v>
      </c>
      <c r="I347" s="7" t="s">
        <v>970</v>
      </c>
      <c r="J347" s="7">
        <f t="shared" si="55"/>
        <v>10</v>
      </c>
      <c r="K347" s="9">
        <f t="shared" si="56"/>
        <v>120000</v>
      </c>
      <c r="L347" s="7">
        <v>2</v>
      </c>
      <c r="M347" s="9">
        <f t="shared" si="57"/>
        <v>240000</v>
      </c>
      <c r="N347" s="9">
        <f t="shared" si="58"/>
        <v>156000</v>
      </c>
      <c r="O347" s="7" t="s">
        <v>1007</v>
      </c>
      <c r="P347" s="10">
        <f t="shared" si="59"/>
        <v>0</v>
      </c>
      <c r="Q347" s="9">
        <f t="shared" si="60"/>
        <v>0</v>
      </c>
      <c r="R347" s="9">
        <f t="shared" si="61"/>
        <v>5000</v>
      </c>
      <c r="S347" s="9" t="str">
        <f t="shared" si="62"/>
        <v>Loss</v>
      </c>
      <c r="T347" s="7" t="str">
        <f t="shared" si="63"/>
        <v>Aug</v>
      </c>
      <c r="U347" s="7">
        <f t="shared" si="64"/>
        <v>2025</v>
      </c>
      <c r="V347" s="7" t="str">
        <f t="shared" si="65"/>
        <v>40-45</v>
      </c>
    </row>
    <row r="348" spans="1:22" x14ac:dyDescent="0.3">
      <c r="A348" s="7" t="s">
        <v>365</v>
      </c>
      <c r="B348" s="8" t="s">
        <v>1369</v>
      </c>
      <c r="C348" s="8">
        <v>18</v>
      </c>
      <c r="D348" s="8" t="s">
        <v>721</v>
      </c>
      <c r="E348" s="8" t="s">
        <v>724</v>
      </c>
      <c r="F348" s="7" t="s">
        <v>1736</v>
      </c>
      <c r="G348" s="7" t="s">
        <v>784</v>
      </c>
      <c r="H348" s="7" t="s">
        <v>891</v>
      </c>
      <c r="I348" s="7" t="s">
        <v>812</v>
      </c>
      <c r="J348" s="7">
        <f t="shared" si="55"/>
        <v>10</v>
      </c>
      <c r="K348" s="9">
        <f t="shared" si="56"/>
        <v>120000</v>
      </c>
      <c r="L348" s="7">
        <v>3</v>
      </c>
      <c r="M348" s="9">
        <f t="shared" si="57"/>
        <v>360000</v>
      </c>
      <c r="N348" s="9">
        <f t="shared" si="58"/>
        <v>234000</v>
      </c>
      <c r="O348" s="7" t="s">
        <v>1006</v>
      </c>
      <c r="P348" s="10">
        <f t="shared" si="59"/>
        <v>0.15</v>
      </c>
      <c r="Q348" s="9">
        <f t="shared" si="60"/>
        <v>54000</v>
      </c>
      <c r="R348" s="9">
        <f t="shared" si="61"/>
        <v>306000</v>
      </c>
      <c r="S348" s="9" t="str">
        <f t="shared" si="62"/>
        <v>Profit</v>
      </c>
      <c r="T348" s="7" t="str">
        <f t="shared" si="63"/>
        <v>Jun</v>
      </c>
      <c r="U348" s="7">
        <f t="shared" si="64"/>
        <v>2025</v>
      </c>
      <c r="V348" s="7" t="str">
        <f t="shared" si="65"/>
        <v>15-20</v>
      </c>
    </row>
    <row r="349" spans="1:22" x14ac:dyDescent="0.3">
      <c r="A349" s="7" t="s">
        <v>366</v>
      </c>
      <c r="B349" s="8" t="s">
        <v>1370</v>
      </c>
      <c r="C349" s="8">
        <v>27</v>
      </c>
      <c r="D349" s="8" t="s">
        <v>721</v>
      </c>
      <c r="E349" s="8" t="s">
        <v>725</v>
      </c>
      <c r="F349" s="7" t="s">
        <v>734</v>
      </c>
      <c r="G349" s="7" t="s">
        <v>740</v>
      </c>
      <c r="H349" s="7" t="s">
        <v>928</v>
      </c>
      <c r="I349" s="7" t="s">
        <v>742</v>
      </c>
      <c r="J349" s="7">
        <f t="shared" si="55"/>
        <v>8</v>
      </c>
      <c r="K349" s="9">
        <f t="shared" si="56"/>
        <v>80000</v>
      </c>
      <c r="L349" s="7">
        <v>2</v>
      </c>
      <c r="M349" s="9">
        <f t="shared" si="57"/>
        <v>160000</v>
      </c>
      <c r="N349" s="9">
        <f t="shared" si="58"/>
        <v>96000</v>
      </c>
      <c r="O349" s="7" t="s">
        <v>1007</v>
      </c>
      <c r="P349" s="10">
        <f t="shared" si="59"/>
        <v>0</v>
      </c>
      <c r="Q349" s="9">
        <f t="shared" si="60"/>
        <v>0</v>
      </c>
      <c r="R349" s="9">
        <f t="shared" si="61"/>
        <v>5000</v>
      </c>
      <c r="S349" s="9" t="str">
        <f t="shared" si="62"/>
        <v>Loss</v>
      </c>
      <c r="T349" s="7" t="str">
        <f t="shared" si="63"/>
        <v>Apr</v>
      </c>
      <c r="U349" s="7">
        <f t="shared" si="64"/>
        <v>2025</v>
      </c>
      <c r="V349" s="7" t="str">
        <f t="shared" si="65"/>
        <v>25-30</v>
      </c>
    </row>
    <row r="350" spans="1:22" x14ac:dyDescent="0.3">
      <c r="A350" s="7" t="s">
        <v>367</v>
      </c>
      <c r="B350" s="8" t="s">
        <v>1371</v>
      </c>
      <c r="C350" s="8">
        <v>30</v>
      </c>
      <c r="D350" s="8" t="s">
        <v>721</v>
      </c>
      <c r="E350" s="8" t="s">
        <v>724</v>
      </c>
      <c r="F350" s="7" t="s">
        <v>734</v>
      </c>
      <c r="G350" s="7" t="s">
        <v>756</v>
      </c>
      <c r="H350" s="7" t="s">
        <v>888</v>
      </c>
      <c r="I350" s="7" t="s">
        <v>951</v>
      </c>
      <c r="J350" s="7">
        <f t="shared" si="55"/>
        <v>10</v>
      </c>
      <c r="K350" s="9">
        <f t="shared" si="56"/>
        <v>120000</v>
      </c>
      <c r="L350" s="7">
        <v>1</v>
      </c>
      <c r="M350" s="9">
        <f t="shared" si="57"/>
        <v>120000</v>
      </c>
      <c r="N350" s="9">
        <f t="shared" si="58"/>
        <v>78000</v>
      </c>
      <c r="O350" s="7" t="s">
        <v>1007</v>
      </c>
      <c r="P350" s="10">
        <f t="shared" si="59"/>
        <v>0</v>
      </c>
      <c r="Q350" s="9">
        <f t="shared" si="60"/>
        <v>0</v>
      </c>
      <c r="R350" s="9">
        <f t="shared" si="61"/>
        <v>5000</v>
      </c>
      <c r="S350" s="9" t="str">
        <f t="shared" si="62"/>
        <v>Loss</v>
      </c>
      <c r="T350" s="7" t="str">
        <f t="shared" si="63"/>
        <v>Mar</v>
      </c>
      <c r="U350" s="7">
        <f t="shared" si="64"/>
        <v>2025</v>
      </c>
      <c r="V350" s="7" t="str">
        <f t="shared" si="65"/>
        <v>30-35</v>
      </c>
    </row>
    <row r="351" spans="1:22" x14ac:dyDescent="0.3">
      <c r="A351" s="7" t="s">
        <v>368</v>
      </c>
      <c r="B351" s="8" t="s">
        <v>1372</v>
      </c>
      <c r="C351" s="8">
        <v>49</v>
      </c>
      <c r="D351" s="8" t="s">
        <v>720</v>
      </c>
      <c r="E351" s="8" t="s">
        <v>724</v>
      </c>
      <c r="F351" s="7" t="s">
        <v>1735</v>
      </c>
      <c r="G351" s="7" t="s">
        <v>914</v>
      </c>
      <c r="H351" s="7" t="s">
        <v>949</v>
      </c>
      <c r="I351" s="7" t="s">
        <v>881</v>
      </c>
      <c r="J351" s="7">
        <f t="shared" si="55"/>
        <v>10</v>
      </c>
      <c r="K351" s="9">
        <f t="shared" si="56"/>
        <v>120000</v>
      </c>
      <c r="L351" s="7">
        <v>3</v>
      </c>
      <c r="M351" s="9">
        <f t="shared" si="57"/>
        <v>360000</v>
      </c>
      <c r="N351" s="9">
        <f t="shared" si="58"/>
        <v>234000</v>
      </c>
      <c r="O351" s="7" t="s">
        <v>1006</v>
      </c>
      <c r="P351" s="10">
        <f t="shared" si="59"/>
        <v>0.15</v>
      </c>
      <c r="Q351" s="9">
        <f t="shared" si="60"/>
        <v>54000</v>
      </c>
      <c r="R351" s="9">
        <f t="shared" si="61"/>
        <v>306000</v>
      </c>
      <c r="S351" s="9" t="str">
        <f t="shared" si="62"/>
        <v>Profit</v>
      </c>
      <c r="T351" s="7" t="str">
        <f t="shared" si="63"/>
        <v>Jul</v>
      </c>
      <c r="U351" s="7">
        <f t="shared" si="64"/>
        <v>2025</v>
      </c>
      <c r="V351" s="7" t="str">
        <f t="shared" si="65"/>
        <v>45-50</v>
      </c>
    </row>
    <row r="352" spans="1:22" x14ac:dyDescent="0.3">
      <c r="A352" s="7" t="s">
        <v>369</v>
      </c>
      <c r="B352" s="8" t="s">
        <v>1373</v>
      </c>
      <c r="C352" s="8">
        <v>40</v>
      </c>
      <c r="D352" s="8" t="s">
        <v>721</v>
      </c>
      <c r="E352" s="8" t="s">
        <v>722</v>
      </c>
      <c r="F352" s="7" t="s">
        <v>732</v>
      </c>
      <c r="G352" s="7" t="s">
        <v>767</v>
      </c>
      <c r="H352" s="7" t="s">
        <v>778</v>
      </c>
      <c r="I352" s="7" t="s">
        <v>804</v>
      </c>
      <c r="J352" s="7">
        <f t="shared" si="55"/>
        <v>5</v>
      </c>
      <c r="K352" s="9">
        <f t="shared" si="56"/>
        <v>60000</v>
      </c>
      <c r="L352" s="7">
        <v>2</v>
      </c>
      <c r="M352" s="9">
        <f t="shared" si="57"/>
        <v>120000</v>
      </c>
      <c r="N352" s="9">
        <f t="shared" si="58"/>
        <v>78000</v>
      </c>
      <c r="O352" s="7" t="s">
        <v>1006</v>
      </c>
      <c r="P352" s="10">
        <f t="shared" si="59"/>
        <v>0.1</v>
      </c>
      <c r="Q352" s="9">
        <f t="shared" si="60"/>
        <v>12000</v>
      </c>
      <c r="R352" s="9">
        <f t="shared" si="61"/>
        <v>108000</v>
      </c>
      <c r="S352" s="9" t="str">
        <f t="shared" si="62"/>
        <v>Profit</v>
      </c>
      <c r="T352" s="7" t="str">
        <f t="shared" si="63"/>
        <v>Apr</v>
      </c>
      <c r="U352" s="7">
        <f t="shared" si="64"/>
        <v>2025</v>
      </c>
      <c r="V352" s="7" t="str">
        <f t="shared" si="65"/>
        <v>40-45</v>
      </c>
    </row>
    <row r="353" spans="1:22" x14ac:dyDescent="0.3">
      <c r="A353" s="7" t="s">
        <v>370</v>
      </c>
      <c r="B353" s="8" t="s">
        <v>1374</v>
      </c>
      <c r="C353" s="8">
        <v>57</v>
      </c>
      <c r="D353" s="8" t="s">
        <v>721</v>
      </c>
      <c r="E353" s="8" t="s">
        <v>726</v>
      </c>
      <c r="F353" s="7" t="s">
        <v>1734</v>
      </c>
      <c r="G353" s="7" t="s">
        <v>834</v>
      </c>
      <c r="H353" s="7" t="s">
        <v>925</v>
      </c>
      <c r="I353" s="7" t="s">
        <v>736</v>
      </c>
      <c r="J353" s="7">
        <f t="shared" si="55"/>
        <v>4</v>
      </c>
      <c r="K353" s="9">
        <f t="shared" si="56"/>
        <v>18000</v>
      </c>
      <c r="L353" s="7">
        <v>2</v>
      </c>
      <c r="M353" s="9">
        <f t="shared" si="57"/>
        <v>36000</v>
      </c>
      <c r="N353" s="9">
        <f t="shared" si="58"/>
        <v>18000</v>
      </c>
      <c r="O353" s="7" t="s">
        <v>1007</v>
      </c>
      <c r="P353" s="10">
        <f t="shared" si="59"/>
        <v>0</v>
      </c>
      <c r="Q353" s="9">
        <f t="shared" si="60"/>
        <v>0</v>
      </c>
      <c r="R353" s="9">
        <f t="shared" si="61"/>
        <v>5000</v>
      </c>
      <c r="S353" s="9" t="str">
        <f t="shared" si="62"/>
        <v>Loss</v>
      </c>
      <c r="T353" s="7" t="str">
        <f t="shared" si="63"/>
        <v>Jun</v>
      </c>
      <c r="U353" s="7">
        <f t="shared" si="64"/>
        <v>2025</v>
      </c>
      <c r="V353" s="7" t="str">
        <f t="shared" si="65"/>
        <v>55-60</v>
      </c>
    </row>
    <row r="354" spans="1:22" x14ac:dyDescent="0.3">
      <c r="A354" s="7" t="s">
        <v>371</v>
      </c>
      <c r="B354" s="8" t="s">
        <v>1375</v>
      </c>
      <c r="C354" s="8">
        <v>28</v>
      </c>
      <c r="D354" s="8" t="s">
        <v>720</v>
      </c>
      <c r="E354" s="8" t="s">
        <v>725</v>
      </c>
      <c r="F354" s="7" t="s">
        <v>729</v>
      </c>
      <c r="G354" s="7" t="s">
        <v>761</v>
      </c>
      <c r="H354" s="7" t="s">
        <v>986</v>
      </c>
      <c r="I354" s="7" t="s">
        <v>992</v>
      </c>
      <c r="J354" s="7">
        <f t="shared" si="55"/>
        <v>8</v>
      </c>
      <c r="K354" s="9">
        <f t="shared" si="56"/>
        <v>80000</v>
      </c>
      <c r="L354" s="7">
        <v>2</v>
      </c>
      <c r="M354" s="9">
        <f t="shared" si="57"/>
        <v>160000</v>
      </c>
      <c r="N354" s="9">
        <f t="shared" si="58"/>
        <v>96000</v>
      </c>
      <c r="O354" s="7" t="s">
        <v>1007</v>
      </c>
      <c r="P354" s="10">
        <f t="shared" si="59"/>
        <v>0</v>
      </c>
      <c r="Q354" s="9">
        <f t="shared" si="60"/>
        <v>0</v>
      </c>
      <c r="R354" s="9">
        <f t="shared" si="61"/>
        <v>5000</v>
      </c>
      <c r="S354" s="9" t="str">
        <f t="shared" si="62"/>
        <v>Loss</v>
      </c>
      <c r="T354" s="7" t="str">
        <f t="shared" si="63"/>
        <v>Jan</v>
      </c>
      <c r="U354" s="7">
        <f t="shared" si="64"/>
        <v>2025</v>
      </c>
      <c r="V354" s="7" t="str">
        <f t="shared" si="65"/>
        <v>25-30</v>
      </c>
    </row>
    <row r="355" spans="1:22" x14ac:dyDescent="0.3">
      <c r="A355" s="7" t="s">
        <v>372</v>
      </c>
      <c r="B355" s="8" t="s">
        <v>1376</v>
      </c>
      <c r="C355" s="8">
        <v>30</v>
      </c>
      <c r="D355" s="8" t="s">
        <v>720</v>
      </c>
      <c r="E355" s="8" t="s">
        <v>725</v>
      </c>
      <c r="F355" s="7" t="s">
        <v>732</v>
      </c>
      <c r="G355" s="7" t="s">
        <v>893</v>
      </c>
      <c r="H355" s="7" t="s">
        <v>991</v>
      </c>
      <c r="I355" s="7" t="s">
        <v>1003</v>
      </c>
      <c r="J355" s="7">
        <f t="shared" si="55"/>
        <v>8</v>
      </c>
      <c r="K355" s="9">
        <f t="shared" si="56"/>
        <v>80000</v>
      </c>
      <c r="L355" s="7">
        <v>2</v>
      </c>
      <c r="M355" s="9">
        <f t="shared" si="57"/>
        <v>160000</v>
      </c>
      <c r="N355" s="9">
        <f t="shared" si="58"/>
        <v>96000</v>
      </c>
      <c r="O355" s="7" t="s">
        <v>1007</v>
      </c>
      <c r="P355" s="10">
        <f t="shared" si="59"/>
        <v>0</v>
      </c>
      <c r="Q355" s="9">
        <f t="shared" si="60"/>
        <v>0</v>
      </c>
      <c r="R355" s="9">
        <f t="shared" si="61"/>
        <v>5000</v>
      </c>
      <c r="S355" s="9" t="str">
        <f t="shared" si="62"/>
        <v>Loss</v>
      </c>
      <c r="T355" s="7" t="str">
        <f t="shared" si="63"/>
        <v>Aug</v>
      </c>
      <c r="U355" s="7">
        <f t="shared" si="64"/>
        <v>2025</v>
      </c>
      <c r="V355" s="7" t="str">
        <f t="shared" si="65"/>
        <v>30-35</v>
      </c>
    </row>
    <row r="356" spans="1:22" x14ac:dyDescent="0.3">
      <c r="A356" s="7" t="s">
        <v>373</v>
      </c>
      <c r="B356" s="8" t="s">
        <v>1377</v>
      </c>
      <c r="C356" s="8">
        <v>20</v>
      </c>
      <c r="D356" s="8" t="s">
        <v>721</v>
      </c>
      <c r="E356" s="8" t="s">
        <v>722</v>
      </c>
      <c r="F356" s="7" t="s">
        <v>727</v>
      </c>
      <c r="G356" s="7" t="s">
        <v>877</v>
      </c>
      <c r="H356" s="7" t="s">
        <v>940</v>
      </c>
      <c r="I356" s="7" t="s">
        <v>886</v>
      </c>
      <c r="J356" s="7">
        <f t="shared" si="55"/>
        <v>5</v>
      </c>
      <c r="K356" s="9">
        <f t="shared" si="56"/>
        <v>60000</v>
      </c>
      <c r="L356" s="7">
        <v>3</v>
      </c>
      <c r="M356" s="9">
        <f t="shared" si="57"/>
        <v>180000</v>
      </c>
      <c r="N356" s="9">
        <f t="shared" si="58"/>
        <v>117000</v>
      </c>
      <c r="O356" s="7" t="s">
        <v>1007</v>
      </c>
      <c r="P356" s="10">
        <f t="shared" si="59"/>
        <v>0</v>
      </c>
      <c r="Q356" s="9">
        <f t="shared" si="60"/>
        <v>0</v>
      </c>
      <c r="R356" s="9">
        <f t="shared" si="61"/>
        <v>5000</v>
      </c>
      <c r="S356" s="9" t="str">
        <f t="shared" si="62"/>
        <v>Loss</v>
      </c>
      <c r="T356" s="7" t="str">
        <f t="shared" si="63"/>
        <v>Mar</v>
      </c>
      <c r="U356" s="7">
        <f t="shared" si="64"/>
        <v>2025</v>
      </c>
      <c r="V356" s="7" t="str">
        <f t="shared" si="65"/>
        <v>20-25</v>
      </c>
    </row>
    <row r="357" spans="1:22" x14ac:dyDescent="0.3">
      <c r="A357" s="7" t="s">
        <v>374</v>
      </c>
      <c r="B357" s="8" t="s">
        <v>1378</v>
      </c>
      <c r="C357" s="8">
        <v>32</v>
      </c>
      <c r="D357" s="8" t="s">
        <v>721</v>
      </c>
      <c r="E357" s="8" t="s">
        <v>725</v>
      </c>
      <c r="F357" s="7" t="s">
        <v>728</v>
      </c>
      <c r="G357" s="7" t="s">
        <v>915</v>
      </c>
      <c r="H357" s="7" t="s">
        <v>935</v>
      </c>
      <c r="I357" s="7" t="s">
        <v>858</v>
      </c>
      <c r="J357" s="7">
        <f t="shared" si="55"/>
        <v>8</v>
      </c>
      <c r="K357" s="9">
        <f t="shared" si="56"/>
        <v>80000</v>
      </c>
      <c r="L357" s="7">
        <v>4</v>
      </c>
      <c r="M357" s="9">
        <f t="shared" si="57"/>
        <v>320000</v>
      </c>
      <c r="N357" s="9">
        <f t="shared" si="58"/>
        <v>192000</v>
      </c>
      <c r="O357" s="7" t="s">
        <v>1007</v>
      </c>
      <c r="P357" s="10">
        <f t="shared" si="59"/>
        <v>0</v>
      </c>
      <c r="Q357" s="9">
        <f t="shared" si="60"/>
        <v>0</v>
      </c>
      <c r="R357" s="9">
        <f t="shared" si="61"/>
        <v>5000</v>
      </c>
      <c r="S357" s="9" t="str">
        <f t="shared" si="62"/>
        <v>Loss</v>
      </c>
      <c r="T357" s="7" t="str">
        <f t="shared" si="63"/>
        <v>Mar</v>
      </c>
      <c r="U357" s="7">
        <f t="shared" si="64"/>
        <v>2025</v>
      </c>
      <c r="V357" s="7" t="str">
        <f t="shared" si="65"/>
        <v>30-35</v>
      </c>
    </row>
    <row r="358" spans="1:22" x14ac:dyDescent="0.3">
      <c r="A358" s="7" t="s">
        <v>375</v>
      </c>
      <c r="B358" s="8" t="s">
        <v>1379</v>
      </c>
      <c r="C358" s="8">
        <v>43</v>
      </c>
      <c r="D358" s="8" t="s">
        <v>720</v>
      </c>
      <c r="E358" s="8" t="s">
        <v>723</v>
      </c>
      <c r="F358" s="7" t="s">
        <v>1730</v>
      </c>
      <c r="G358" s="7" t="s">
        <v>823</v>
      </c>
      <c r="H358" s="7" t="s">
        <v>922</v>
      </c>
      <c r="I358" s="7" t="s">
        <v>972</v>
      </c>
      <c r="J358" s="7">
        <f t="shared" si="55"/>
        <v>7</v>
      </c>
      <c r="K358" s="9">
        <f t="shared" si="56"/>
        <v>70000</v>
      </c>
      <c r="L358" s="7">
        <v>3</v>
      </c>
      <c r="M358" s="9">
        <f t="shared" si="57"/>
        <v>210000</v>
      </c>
      <c r="N358" s="9">
        <f t="shared" si="58"/>
        <v>126000</v>
      </c>
      <c r="O358" s="7" t="s">
        <v>1007</v>
      </c>
      <c r="P358" s="10">
        <f t="shared" si="59"/>
        <v>0</v>
      </c>
      <c r="Q358" s="9">
        <f t="shared" si="60"/>
        <v>0</v>
      </c>
      <c r="R358" s="9">
        <f t="shared" si="61"/>
        <v>5000</v>
      </c>
      <c r="S358" s="9" t="str">
        <f t="shared" si="62"/>
        <v>Loss</v>
      </c>
      <c r="T358" s="7" t="str">
        <f t="shared" si="63"/>
        <v>Feb</v>
      </c>
      <c r="U358" s="7">
        <f t="shared" si="64"/>
        <v>2025</v>
      </c>
      <c r="V358" s="7" t="str">
        <f t="shared" si="65"/>
        <v>40-45</v>
      </c>
    </row>
    <row r="359" spans="1:22" x14ac:dyDescent="0.3">
      <c r="A359" s="7" t="s">
        <v>376</v>
      </c>
      <c r="B359" s="8" t="s">
        <v>1380</v>
      </c>
      <c r="C359" s="8">
        <v>21</v>
      </c>
      <c r="D359" s="8" t="s">
        <v>720</v>
      </c>
      <c r="E359" s="8" t="s">
        <v>723</v>
      </c>
      <c r="F359" s="7" t="s">
        <v>733</v>
      </c>
      <c r="G359" s="7" t="s">
        <v>775</v>
      </c>
      <c r="H359" s="7" t="s">
        <v>850</v>
      </c>
      <c r="I359" s="7" t="s">
        <v>962</v>
      </c>
      <c r="J359" s="7">
        <f t="shared" si="55"/>
        <v>7</v>
      </c>
      <c r="K359" s="9">
        <f t="shared" si="56"/>
        <v>70000</v>
      </c>
      <c r="L359" s="7">
        <v>1</v>
      </c>
      <c r="M359" s="9">
        <f t="shared" si="57"/>
        <v>70000</v>
      </c>
      <c r="N359" s="9">
        <f t="shared" si="58"/>
        <v>42000</v>
      </c>
      <c r="O359" s="7" t="s">
        <v>1006</v>
      </c>
      <c r="P359" s="10">
        <f t="shared" si="59"/>
        <v>7.0000000000000007E-2</v>
      </c>
      <c r="Q359" s="9">
        <f t="shared" si="60"/>
        <v>4900.0000000000009</v>
      </c>
      <c r="R359" s="9">
        <f t="shared" si="61"/>
        <v>65100</v>
      </c>
      <c r="S359" s="9" t="str">
        <f t="shared" si="62"/>
        <v>Profit</v>
      </c>
      <c r="T359" s="7" t="str">
        <f t="shared" si="63"/>
        <v>May</v>
      </c>
      <c r="U359" s="7">
        <f t="shared" si="64"/>
        <v>2025</v>
      </c>
      <c r="V359" s="7" t="str">
        <f t="shared" si="65"/>
        <v>20-25</v>
      </c>
    </row>
    <row r="360" spans="1:22" x14ac:dyDescent="0.3">
      <c r="A360" s="7" t="s">
        <v>377</v>
      </c>
      <c r="B360" s="8" t="s">
        <v>1381</v>
      </c>
      <c r="C360" s="8">
        <v>54</v>
      </c>
      <c r="D360" s="8" t="s">
        <v>720</v>
      </c>
      <c r="E360" s="8" t="s">
        <v>722</v>
      </c>
      <c r="F360" s="7" t="s">
        <v>734</v>
      </c>
      <c r="G360" s="7" t="s">
        <v>916</v>
      </c>
      <c r="H360" s="7" t="s">
        <v>847</v>
      </c>
      <c r="I360" s="7" t="s">
        <v>872</v>
      </c>
      <c r="J360" s="7">
        <f t="shared" si="55"/>
        <v>5</v>
      </c>
      <c r="K360" s="9">
        <f t="shared" si="56"/>
        <v>60000</v>
      </c>
      <c r="L360" s="7">
        <v>2</v>
      </c>
      <c r="M360" s="9">
        <f t="shared" si="57"/>
        <v>120000</v>
      </c>
      <c r="N360" s="9">
        <f t="shared" si="58"/>
        <v>78000</v>
      </c>
      <c r="O360" s="7" t="s">
        <v>1007</v>
      </c>
      <c r="P360" s="10">
        <f t="shared" si="59"/>
        <v>0</v>
      </c>
      <c r="Q360" s="9">
        <f t="shared" si="60"/>
        <v>0</v>
      </c>
      <c r="R360" s="9">
        <f t="shared" si="61"/>
        <v>5000</v>
      </c>
      <c r="S360" s="9" t="str">
        <f t="shared" si="62"/>
        <v>Loss</v>
      </c>
      <c r="T360" s="7" t="str">
        <f t="shared" si="63"/>
        <v>Jun</v>
      </c>
      <c r="U360" s="7">
        <f t="shared" si="64"/>
        <v>2025</v>
      </c>
      <c r="V360" s="7" t="str">
        <f t="shared" si="65"/>
        <v>50-55</v>
      </c>
    </row>
    <row r="361" spans="1:22" x14ac:dyDescent="0.3">
      <c r="A361" s="7" t="s">
        <v>378</v>
      </c>
      <c r="B361" s="8" t="s">
        <v>1382</v>
      </c>
      <c r="C361" s="8">
        <v>29</v>
      </c>
      <c r="D361" s="8" t="s">
        <v>720</v>
      </c>
      <c r="E361" s="8" t="s">
        <v>726</v>
      </c>
      <c r="F361" s="7" t="s">
        <v>1734</v>
      </c>
      <c r="G361" s="7" t="s">
        <v>902</v>
      </c>
      <c r="H361" s="7" t="s">
        <v>906</v>
      </c>
      <c r="I361" s="7" t="s">
        <v>828</v>
      </c>
      <c r="J361" s="7">
        <f t="shared" si="55"/>
        <v>4</v>
      </c>
      <c r="K361" s="9">
        <f t="shared" si="56"/>
        <v>18000</v>
      </c>
      <c r="L361" s="7">
        <v>2</v>
      </c>
      <c r="M361" s="9">
        <f t="shared" si="57"/>
        <v>36000</v>
      </c>
      <c r="N361" s="9">
        <f t="shared" si="58"/>
        <v>18000</v>
      </c>
      <c r="O361" s="7" t="s">
        <v>1006</v>
      </c>
      <c r="P361" s="10">
        <f t="shared" si="59"/>
        <v>0.05</v>
      </c>
      <c r="Q361" s="9">
        <f t="shared" si="60"/>
        <v>1800</v>
      </c>
      <c r="R361" s="9">
        <f t="shared" si="61"/>
        <v>34200</v>
      </c>
      <c r="S361" s="9" t="str">
        <f t="shared" si="62"/>
        <v>Profit</v>
      </c>
      <c r="T361" s="7" t="str">
        <f t="shared" si="63"/>
        <v>Jan</v>
      </c>
      <c r="U361" s="7">
        <f t="shared" si="64"/>
        <v>2025</v>
      </c>
      <c r="V361" s="7" t="str">
        <f t="shared" si="65"/>
        <v>25-30</v>
      </c>
    </row>
    <row r="362" spans="1:22" x14ac:dyDescent="0.3">
      <c r="A362" s="7" t="s">
        <v>379</v>
      </c>
      <c r="B362" s="8" t="s">
        <v>1383</v>
      </c>
      <c r="C362" s="8">
        <v>24</v>
      </c>
      <c r="D362" s="8" t="s">
        <v>721</v>
      </c>
      <c r="E362" s="8" t="s">
        <v>724</v>
      </c>
      <c r="F362" s="7" t="s">
        <v>735</v>
      </c>
      <c r="G362" s="7" t="s">
        <v>779</v>
      </c>
      <c r="H362" s="7" t="s">
        <v>801</v>
      </c>
      <c r="I362" s="7" t="s">
        <v>840</v>
      </c>
      <c r="J362" s="7">
        <f t="shared" si="55"/>
        <v>10</v>
      </c>
      <c r="K362" s="9">
        <f t="shared" si="56"/>
        <v>120000</v>
      </c>
      <c r="L362" s="7">
        <v>4</v>
      </c>
      <c r="M362" s="9">
        <f t="shared" si="57"/>
        <v>480000</v>
      </c>
      <c r="N362" s="9">
        <f t="shared" si="58"/>
        <v>312000</v>
      </c>
      <c r="O362" s="7" t="s">
        <v>1006</v>
      </c>
      <c r="P362" s="10">
        <f t="shared" si="59"/>
        <v>0.15</v>
      </c>
      <c r="Q362" s="9">
        <f t="shared" si="60"/>
        <v>72000</v>
      </c>
      <c r="R362" s="9">
        <f t="shared" si="61"/>
        <v>408000</v>
      </c>
      <c r="S362" s="9" t="str">
        <f t="shared" si="62"/>
        <v>Profit</v>
      </c>
      <c r="T362" s="7" t="str">
        <f t="shared" si="63"/>
        <v>May</v>
      </c>
      <c r="U362" s="7">
        <f t="shared" si="64"/>
        <v>2025</v>
      </c>
      <c r="V362" s="7" t="str">
        <f t="shared" si="65"/>
        <v>20-25</v>
      </c>
    </row>
    <row r="363" spans="1:22" x14ac:dyDescent="0.3">
      <c r="A363" s="7" t="s">
        <v>380</v>
      </c>
      <c r="B363" s="8" t="s">
        <v>1384</v>
      </c>
      <c r="C363" s="8">
        <v>36</v>
      </c>
      <c r="D363" s="8" t="s">
        <v>720</v>
      </c>
      <c r="E363" s="8" t="s">
        <v>726</v>
      </c>
      <c r="F363" s="7" t="s">
        <v>732</v>
      </c>
      <c r="G363" s="7" t="s">
        <v>911</v>
      </c>
      <c r="H363" s="7" t="s">
        <v>784</v>
      </c>
      <c r="I363" s="7" t="s">
        <v>747</v>
      </c>
      <c r="J363" s="7">
        <f t="shared" si="55"/>
        <v>4</v>
      </c>
      <c r="K363" s="9">
        <f t="shared" si="56"/>
        <v>18000</v>
      </c>
      <c r="L363" s="7">
        <v>2</v>
      </c>
      <c r="M363" s="9">
        <f t="shared" si="57"/>
        <v>36000</v>
      </c>
      <c r="N363" s="9">
        <f t="shared" si="58"/>
        <v>18000</v>
      </c>
      <c r="O363" s="7" t="s">
        <v>1007</v>
      </c>
      <c r="P363" s="10">
        <f t="shared" si="59"/>
        <v>0</v>
      </c>
      <c r="Q363" s="9">
        <f t="shared" si="60"/>
        <v>0</v>
      </c>
      <c r="R363" s="9">
        <f t="shared" si="61"/>
        <v>5000</v>
      </c>
      <c r="S363" s="9" t="str">
        <f t="shared" si="62"/>
        <v>Loss</v>
      </c>
      <c r="T363" s="7" t="str">
        <f t="shared" si="63"/>
        <v>May</v>
      </c>
      <c r="U363" s="7">
        <f t="shared" si="64"/>
        <v>2025</v>
      </c>
      <c r="V363" s="7" t="str">
        <f t="shared" si="65"/>
        <v>35-40</v>
      </c>
    </row>
    <row r="364" spans="1:22" x14ac:dyDescent="0.3">
      <c r="A364" s="7" t="s">
        <v>381</v>
      </c>
      <c r="B364" s="8" t="s">
        <v>1385</v>
      </c>
      <c r="C364" s="8">
        <v>36</v>
      </c>
      <c r="D364" s="8" t="s">
        <v>720</v>
      </c>
      <c r="E364" s="8" t="s">
        <v>722</v>
      </c>
      <c r="F364" s="7" t="s">
        <v>1730</v>
      </c>
      <c r="G364" s="7" t="s">
        <v>917</v>
      </c>
      <c r="H364" s="7" t="s">
        <v>919</v>
      </c>
      <c r="I364" s="7" t="s">
        <v>901</v>
      </c>
      <c r="J364" s="7">
        <f t="shared" si="55"/>
        <v>5</v>
      </c>
      <c r="K364" s="9">
        <f t="shared" si="56"/>
        <v>60000</v>
      </c>
      <c r="L364" s="7">
        <v>4</v>
      </c>
      <c r="M364" s="9">
        <f t="shared" si="57"/>
        <v>240000</v>
      </c>
      <c r="N364" s="9">
        <f t="shared" si="58"/>
        <v>156000</v>
      </c>
      <c r="O364" s="7" t="s">
        <v>1006</v>
      </c>
      <c r="P364" s="10">
        <f t="shared" si="59"/>
        <v>0.1</v>
      </c>
      <c r="Q364" s="9">
        <f t="shared" si="60"/>
        <v>24000</v>
      </c>
      <c r="R364" s="9">
        <f t="shared" si="61"/>
        <v>216000</v>
      </c>
      <c r="S364" s="9" t="str">
        <f t="shared" si="62"/>
        <v>Profit</v>
      </c>
      <c r="T364" s="7" t="str">
        <f t="shared" si="63"/>
        <v>Jul</v>
      </c>
      <c r="U364" s="7">
        <f t="shared" si="64"/>
        <v>2025</v>
      </c>
      <c r="V364" s="7" t="str">
        <f t="shared" si="65"/>
        <v>35-40</v>
      </c>
    </row>
    <row r="365" spans="1:22" x14ac:dyDescent="0.3">
      <c r="A365" s="7" t="s">
        <v>382</v>
      </c>
      <c r="B365" s="8" t="s">
        <v>1386</v>
      </c>
      <c r="C365" s="8">
        <v>30</v>
      </c>
      <c r="D365" s="8" t="s">
        <v>721</v>
      </c>
      <c r="E365" s="8" t="s">
        <v>724</v>
      </c>
      <c r="F365" s="7" t="s">
        <v>733</v>
      </c>
      <c r="G365" s="7" t="s">
        <v>766</v>
      </c>
      <c r="H365" s="7" t="s">
        <v>776</v>
      </c>
      <c r="I365" s="7" t="s">
        <v>824</v>
      </c>
      <c r="J365" s="7">
        <f t="shared" si="55"/>
        <v>10</v>
      </c>
      <c r="K365" s="9">
        <f t="shared" si="56"/>
        <v>120000</v>
      </c>
      <c r="L365" s="7">
        <v>4</v>
      </c>
      <c r="M365" s="9">
        <f t="shared" si="57"/>
        <v>480000</v>
      </c>
      <c r="N365" s="9">
        <f t="shared" si="58"/>
        <v>312000</v>
      </c>
      <c r="O365" s="7" t="s">
        <v>1006</v>
      </c>
      <c r="P365" s="10">
        <f t="shared" si="59"/>
        <v>0.15</v>
      </c>
      <c r="Q365" s="9">
        <f t="shared" si="60"/>
        <v>72000</v>
      </c>
      <c r="R365" s="9">
        <f t="shared" si="61"/>
        <v>408000</v>
      </c>
      <c r="S365" s="9" t="str">
        <f t="shared" si="62"/>
        <v>Profit</v>
      </c>
      <c r="T365" s="7" t="str">
        <f t="shared" si="63"/>
        <v>Apr</v>
      </c>
      <c r="U365" s="7">
        <f t="shared" si="64"/>
        <v>2025</v>
      </c>
      <c r="V365" s="7" t="str">
        <f t="shared" si="65"/>
        <v>30-35</v>
      </c>
    </row>
    <row r="366" spans="1:22" x14ac:dyDescent="0.3">
      <c r="A366" s="7" t="s">
        <v>383</v>
      </c>
      <c r="B366" s="8" t="s">
        <v>1387</v>
      </c>
      <c r="C366" s="8">
        <v>52</v>
      </c>
      <c r="D366" s="8" t="s">
        <v>720</v>
      </c>
      <c r="E366" s="8" t="s">
        <v>724</v>
      </c>
      <c r="F366" s="7" t="s">
        <v>727</v>
      </c>
      <c r="G366" s="7" t="s">
        <v>761</v>
      </c>
      <c r="H366" s="7" t="s">
        <v>798</v>
      </c>
      <c r="I366" s="7" t="s">
        <v>878</v>
      </c>
      <c r="J366" s="7">
        <f t="shared" si="55"/>
        <v>10</v>
      </c>
      <c r="K366" s="9">
        <f t="shared" si="56"/>
        <v>120000</v>
      </c>
      <c r="L366" s="7">
        <v>2</v>
      </c>
      <c r="M366" s="9">
        <f t="shared" si="57"/>
        <v>240000</v>
      </c>
      <c r="N366" s="9">
        <f t="shared" si="58"/>
        <v>156000</v>
      </c>
      <c r="O366" s="7" t="s">
        <v>1006</v>
      </c>
      <c r="P366" s="10">
        <f t="shared" si="59"/>
        <v>0.15</v>
      </c>
      <c r="Q366" s="9">
        <f t="shared" si="60"/>
        <v>36000</v>
      </c>
      <c r="R366" s="9">
        <f t="shared" si="61"/>
        <v>204000</v>
      </c>
      <c r="S366" s="9" t="str">
        <f t="shared" si="62"/>
        <v>Profit</v>
      </c>
      <c r="T366" s="7" t="str">
        <f t="shared" si="63"/>
        <v>Jan</v>
      </c>
      <c r="U366" s="7">
        <f t="shared" si="64"/>
        <v>2025</v>
      </c>
      <c r="V366" s="7" t="str">
        <f t="shared" si="65"/>
        <v>50-55</v>
      </c>
    </row>
    <row r="367" spans="1:22" x14ac:dyDescent="0.3">
      <c r="A367" s="7" t="s">
        <v>384</v>
      </c>
      <c r="B367" s="8" t="s">
        <v>1388</v>
      </c>
      <c r="C367" s="8">
        <v>42</v>
      </c>
      <c r="D367" s="8" t="s">
        <v>721</v>
      </c>
      <c r="E367" s="8" t="s">
        <v>724</v>
      </c>
      <c r="F367" s="7" t="s">
        <v>1736</v>
      </c>
      <c r="G367" s="7" t="s">
        <v>749</v>
      </c>
      <c r="H367" s="7" t="s">
        <v>890</v>
      </c>
      <c r="I367" s="7" t="s">
        <v>801</v>
      </c>
      <c r="J367" s="7">
        <f t="shared" si="55"/>
        <v>10</v>
      </c>
      <c r="K367" s="9">
        <f t="shared" si="56"/>
        <v>120000</v>
      </c>
      <c r="L367" s="7">
        <v>4</v>
      </c>
      <c r="M367" s="9">
        <f t="shared" si="57"/>
        <v>480000</v>
      </c>
      <c r="N367" s="9">
        <f t="shared" si="58"/>
        <v>312000</v>
      </c>
      <c r="O367" s="7" t="s">
        <v>1007</v>
      </c>
      <c r="P367" s="10">
        <f t="shared" si="59"/>
        <v>0</v>
      </c>
      <c r="Q367" s="9">
        <f t="shared" si="60"/>
        <v>0</v>
      </c>
      <c r="R367" s="9">
        <f t="shared" si="61"/>
        <v>5000</v>
      </c>
      <c r="S367" s="9" t="str">
        <f t="shared" si="62"/>
        <v>Loss</v>
      </c>
      <c r="T367" s="7" t="str">
        <f t="shared" si="63"/>
        <v>Apr</v>
      </c>
      <c r="U367" s="7">
        <f t="shared" si="64"/>
        <v>2025</v>
      </c>
      <c r="V367" s="7" t="str">
        <f t="shared" si="65"/>
        <v>40-45</v>
      </c>
    </row>
    <row r="368" spans="1:22" x14ac:dyDescent="0.3">
      <c r="A368" s="7" t="s">
        <v>385</v>
      </c>
      <c r="B368" s="8" t="s">
        <v>1389</v>
      </c>
      <c r="C368" s="8">
        <v>39</v>
      </c>
      <c r="D368" s="8" t="s">
        <v>720</v>
      </c>
      <c r="E368" s="8" t="s">
        <v>722</v>
      </c>
      <c r="F368" s="7" t="s">
        <v>729</v>
      </c>
      <c r="G368" s="7" t="s">
        <v>918</v>
      </c>
      <c r="H368" s="7" t="s">
        <v>955</v>
      </c>
      <c r="I368" s="7" t="s">
        <v>931</v>
      </c>
      <c r="J368" s="7">
        <f t="shared" si="55"/>
        <v>5</v>
      </c>
      <c r="K368" s="9">
        <f t="shared" si="56"/>
        <v>60000</v>
      </c>
      <c r="L368" s="7">
        <v>4</v>
      </c>
      <c r="M368" s="9">
        <f t="shared" si="57"/>
        <v>240000</v>
      </c>
      <c r="N368" s="9">
        <f t="shared" si="58"/>
        <v>156000</v>
      </c>
      <c r="O368" s="7" t="s">
        <v>1007</v>
      </c>
      <c r="P368" s="10">
        <f t="shared" si="59"/>
        <v>0</v>
      </c>
      <c r="Q368" s="9">
        <f t="shared" si="60"/>
        <v>0</v>
      </c>
      <c r="R368" s="9">
        <f t="shared" si="61"/>
        <v>5000</v>
      </c>
      <c r="S368" s="9" t="str">
        <f t="shared" si="62"/>
        <v>Loss</v>
      </c>
      <c r="T368" s="7" t="str">
        <f t="shared" si="63"/>
        <v>Jul</v>
      </c>
      <c r="U368" s="7">
        <f t="shared" si="64"/>
        <v>2025</v>
      </c>
      <c r="V368" s="7" t="str">
        <f t="shared" si="65"/>
        <v>35-40</v>
      </c>
    </row>
    <row r="369" spans="1:22" x14ac:dyDescent="0.3">
      <c r="A369" s="7" t="s">
        <v>386</v>
      </c>
      <c r="B369" s="8" t="s">
        <v>1390</v>
      </c>
      <c r="C369" s="8">
        <v>28</v>
      </c>
      <c r="D369" s="8" t="s">
        <v>721</v>
      </c>
      <c r="E369" s="8" t="s">
        <v>722</v>
      </c>
      <c r="F369" s="7" t="s">
        <v>727</v>
      </c>
      <c r="G369" s="7" t="s">
        <v>878</v>
      </c>
      <c r="H369" s="7" t="s">
        <v>845</v>
      </c>
      <c r="I369" s="7" t="s">
        <v>870</v>
      </c>
      <c r="J369" s="7">
        <f t="shared" si="55"/>
        <v>5</v>
      </c>
      <c r="K369" s="9">
        <f t="shared" si="56"/>
        <v>60000</v>
      </c>
      <c r="L369" s="7">
        <v>2</v>
      </c>
      <c r="M369" s="9">
        <f t="shared" si="57"/>
        <v>120000</v>
      </c>
      <c r="N369" s="9">
        <f t="shared" si="58"/>
        <v>78000</v>
      </c>
      <c r="O369" s="7" t="s">
        <v>1007</v>
      </c>
      <c r="P369" s="10">
        <f t="shared" si="59"/>
        <v>0</v>
      </c>
      <c r="Q369" s="9">
        <f t="shared" si="60"/>
        <v>0</v>
      </c>
      <c r="R369" s="9">
        <f t="shared" si="61"/>
        <v>5000</v>
      </c>
      <c r="S369" s="9" t="str">
        <f t="shared" si="62"/>
        <v>Loss</v>
      </c>
      <c r="T369" s="7" t="str">
        <f t="shared" si="63"/>
        <v>Mar</v>
      </c>
      <c r="U369" s="7">
        <f t="shared" si="64"/>
        <v>2025</v>
      </c>
      <c r="V369" s="7" t="str">
        <f t="shared" si="65"/>
        <v>25-30</v>
      </c>
    </row>
    <row r="370" spans="1:22" x14ac:dyDescent="0.3">
      <c r="A370" s="7" t="s">
        <v>387</v>
      </c>
      <c r="B370" s="8" t="s">
        <v>1391</v>
      </c>
      <c r="C370" s="8">
        <v>29</v>
      </c>
      <c r="D370" s="8" t="s">
        <v>720</v>
      </c>
      <c r="E370" s="8" t="s">
        <v>723</v>
      </c>
      <c r="F370" s="7" t="s">
        <v>732</v>
      </c>
      <c r="G370" s="7" t="s">
        <v>755</v>
      </c>
      <c r="H370" s="7" t="s">
        <v>883</v>
      </c>
      <c r="I370" s="7" t="s">
        <v>765</v>
      </c>
      <c r="J370" s="7">
        <f t="shared" si="55"/>
        <v>7</v>
      </c>
      <c r="K370" s="9">
        <f t="shared" si="56"/>
        <v>70000</v>
      </c>
      <c r="L370" s="7">
        <v>2</v>
      </c>
      <c r="M370" s="9">
        <f t="shared" si="57"/>
        <v>140000</v>
      </c>
      <c r="N370" s="9">
        <f t="shared" si="58"/>
        <v>84000</v>
      </c>
      <c r="O370" s="7" t="s">
        <v>1006</v>
      </c>
      <c r="P370" s="10">
        <f t="shared" si="59"/>
        <v>7.0000000000000007E-2</v>
      </c>
      <c r="Q370" s="9">
        <f t="shared" si="60"/>
        <v>9800.0000000000018</v>
      </c>
      <c r="R370" s="9">
        <f t="shared" si="61"/>
        <v>130200</v>
      </c>
      <c r="S370" s="9" t="str">
        <f t="shared" si="62"/>
        <v>Profit</v>
      </c>
      <c r="T370" s="7" t="str">
        <f t="shared" si="63"/>
        <v>May</v>
      </c>
      <c r="U370" s="7">
        <f t="shared" si="64"/>
        <v>2025</v>
      </c>
      <c r="V370" s="7" t="str">
        <f t="shared" si="65"/>
        <v>25-30</v>
      </c>
    </row>
    <row r="371" spans="1:22" x14ac:dyDescent="0.3">
      <c r="A371" s="7" t="s">
        <v>388</v>
      </c>
      <c r="B371" s="8" t="s">
        <v>1392</v>
      </c>
      <c r="C371" s="8">
        <v>31</v>
      </c>
      <c r="D371" s="8" t="s">
        <v>721</v>
      </c>
      <c r="E371" s="8" t="s">
        <v>722</v>
      </c>
      <c r="F371" s="7" t="s">
        <v>730</v>
      </c>
      <c r="G371" s="7" t="s">
        <v>880</v>
      </c>
      <c r="H371" s="7" t="s">
        <v>781</v>
      </c>
      <c r="I371" s="7" t="s">
        <v>806</v>
      </c>
      <c r="J371" s="7">
        <f t="shared" si="55"/>
        <v>5</v>
      </c>
      <c r="K371" s="9">
        <f t="shared" si="56"/>
        <v>60000</v>
      </c>
      <c r="L371" s="7">
        <v>2</v>
      </c>
      <c r="M371" s="9">
        <f t="shared" si="57"/>
        <v>120000</v>
      </c>
      <c r="N371" s="9">
        <f t="shared" si="58"/>
        <v>78000</v>
      </c>
      <c r="O371" s="7" t="s">
        <v>1007</v>
      </c>
      <c r="P371" s="10">
        <f t="shared" si="59"/>
        <v>0</v>
      </c>
      <c r="Q371" s="9">
        <f t="shared" si="60"/>
        <v>0</v>
      </c>
      <c r="R371" s="9">
        <f t="shared" si="61"/>
        <v>5000</v>
      </c>
      <c r="S371" s="9" t="str">
        <f t="shared" si="62"/>
        <v>Loss</v>
      </c>
      <c r="T371" s="7" t="str">
        <f t="shared" si="63"/>
        <v>Jan</v>
      </c>
      <c r="U371" s="7">
        <f t="shared" si="64"/>
        <v>2025</v>
      </c>
      <c r="V371" s="7" t="str">
        <f t="shared" si="65"/>
        <v>30-35</v>
      </c>
    </row>
    <row r="372" spans="1:22" x14ac:dyDescent="0.3">
      <c r="A372" s="7" t="s">
        <v>389</v>
      </c>
      <c r="B372" s="8" t="s">
        <v>1393</v>
      </c>
      <c r="C372" s="8">
        <v>18</v>
      </c>
      <c r="D372" s="8" t="s">
        <v>720</v>
      </c>
      <c r="E372" s="8" t="s">
        <v>726</v>
      </c>
      <c r="F372" s="7" t="s">
        <v>1728</v>
      </c>
      <c r="G372" s="7" t="s">
        <v>766</v>
      </c>
      <c r="H372" s="7" t="s">
        <v>775</v>
      </c>
      <c r="I372" s="7" t="s">
        <v>840</v>
      </c>
      <c r="J372" s="7">
        <f t="shared" si="55"/>
        <v>4</v>
      </c>
      <c r="K372" s="9">
        <f t="shared" si="56"/>
        <v>18000</v>
      </c>
      <c r="L372" s="7">
        <v>4</v>
      </c>
      <c r="M372" s="9">
        <f t="shared" si="57"/>
        <v>72000</v>
      </c>
      <c r="N372" s="9">
        <f t="shared" si="58"/>
        <v>36000</v>
      </c>
      <c r="O372" s="7" t="s">
        <v>1007</v>
      </c>
      <c r="P372" s="10">
        <f t="shared" si="59"/>
        <v>0</v>
      </c>
      <c r="Q372" s="9">
        <f t="shared" si="60"/>
        <v>0</v>
      </c>
      <c r="R372" s="9">
        <f t="shared" si="61"/>
        <v>5000</v>
      </c>
      <c r="S372" s="9" t="str">
        <f t="shared" si="62"/>
        <v>Loss</v>
      </c>
      <c r="T372" s="7" t="str">
        <f t="shared" si="63"/>
        <v>Apr</v>
      </c>
      <c r="U372" s="7">
        <f t="shared" si="64"/>
        <v>2025</v>
      </c>
      <c r="V372" s="7" t="str">
        <f t="shared" si="65"/>
        <v>15-20</v>
      </c>
    </row>
    <row r="373" spans="1:22" x14ac:dyDescent="0.3">
      <c r="A373" s="7" t="s">
        <v>390</v>
      </c>
      <c r="B373" s="8" t="s">
        <v>1394</v>
      </c>
      <c r="C373" s="8">
        <v>26</v>
      </c>
      <c r="D373" s="8" t="s">
        <v>720</v>
      </c>
      <c r="E373" s="8" t="s">
        <v>725</v>
      </c>
      <c r="F373" s="7" t="s">
        <v>728</v>
      </c>
      <c r="G373" s="7" t="s">
        <v>845</v>
      </c>
      <c r="H373" s="7" t="s">
        <v>778</v>
      </c>
      <c r="I373" s="7" t="s">
        <v>860</v>
      </c>
      <c r="J373" s="7">
        <f t="shared" si="55"/>
        <v>8</v>
      </c>
      <c r="K373" s="9">
        <f t="shared" si="56"/>
        <v>80000</v>
      </c>
      <c r="L373" s="7">
        <v>2</v>
      </c>
      <c r="M373" s="9">
        <f t="shared" si="57"/>
        <v>160000</v>
      </c>
      <c r="N373" s="9">
        <f t="shared" si="58"/>
        <v>96000</v>
      </c>
      <c r="O373" s="7" t="s">
        <v>1006</v>
      </c>
      <c r="P373" s="10">
        <f t="shared" si="59"/>
        <v>0.12</v>
      </c>
      <c r="Q373" s="9">
        <f t="shared" si="60"/>
        <v>19200</v>
      </c>
      <c r="R373" s="9">
        <f t="shared" si="61"/>
        <v>140800</v>
      </c>
      <c r="S373" s="9" t="str">
        <f t="shared" si="62"/>
        <v>Profit</v>
      </c>
      <c r="T373" s="7" t="str">
        <f t="shared" si="63"/>
        <v>Apr</v>
      </c>
      <c r="U373" s="7">
        <f t="shared" si="64"/>
        <v>2025</v>
      </c>
      <c r="V373" s="7" t="str">
        <f t="shared" si="65"/>
        <v>25-30</v>
      </c>
    </row>
    <row r="374" spans="1:22" x14ac:dyDescent="0.3">
      <c r="A374" s="7" t="s">
        <v>391</v>
      </c>
      <c r="B374" s="8" t="s">
        <v>1395</v>
      </c>
      <c r="C374" s="8">
        <v>59</v>
      </c>
      <c r="D374" s="8" t="s">
        <v>721</v>
      </c>
      <c r="E374" s="8" t="s">
        <v>726</v>
      </c>
      <c r="F374" s="7" t="s">
        <v>728</v>
      </c>
      <c r="G374" s="7" t="s">
        <v>786</v>
      </c>
      <c r="H374" s="7" t="s">
        <v>930</v>
      </c>
      <c r="I374" s="7" t="s">
        <v>872</v>
      </c>
      <c r="J374" s="7">
        <f t="shared" si="55"/>
        <v>4</v>
      </c>
      <c r="K374" s="9">
        <f t="shared" si="56"/>
        <v>18000</v>
      </c>
      <c r="L374" s="7">
        <v>3</v>
      </c>
      <c r="M374" s="9">
        <f t="shared" si="57"/>
        <v>54000</v>
      </c>
      <c r="N374" s="9">
        <f t="shared" si="58"/>
        <v>27000</v>
      </c>
      <c r="O374" s="7" t="s">
        <v>1006</v>
      </c>
      <c r="P374" s="10">
        <f t="shared" si="59"/>
        <v>0.05</v>
      </c>
      <c r="Q374" s="9">
        <f t="shared" si="60"/>
        <v>2700</v>
      </c>
      <c r="R374" s="9">
        <f t="shared" si="61"/>
        <v>51300</v>
      </c>
      <c r="S374" s="9" t="str">
        <f t="shared" si="62"/>
        <v>Profit</v>
      </c>
      <c r="T374" s="7" t="str">
        <f t="shared" si="63"/>
        <v>Jun</v>
      </c>
      <c r="U374" s="7">
        <f t="shared" si="64"/>
        <v>2025</v>
      </c>
      <c r="V374" s="7" t="str">
        <f t="shared" si="65"/>
        <v>55-60</v>
      </c>
    </row>
    <row r="375" spans="1:22" x14ac:dyDescent="0.3">
      <c r="A375" s="7" t="s">
        <v>392</v>
      </c>
      <c r="B375" s="8" t="s">
        <v>1396</v>
      </c>
      <c r="C375" s="8">
        <v>20</v>
      </c>
      <c r="D375" s="8" t="s">
        <v>720</v>
      </c>
      <c r="E375" s="8" t="s">
        <v>722</v>
      </c>
      <c r="F375" s="7" t="s">
        <v>729</v>
      </c>
      <c r="G375" s="7" t="s">
        <v>832</v>
      </c>
      <c r="H375" s="7" t="s">
        <v>831</v>
      </c>
      <c r="I375" s="7" t="s">
        <v>882</v>
      </c>
      <c r="J375" s="7">
        <f t="shared" si="55"/>
        <v>5</v>
      </c>
      <c r="K375" s="9">
        <f t="shared" si="56"/>
        <v>60000</v>
      </c>
      <c r="L375" s="7">
        <v>2</v>
      </c>
      <c r="M375" s="9">
        <f t="shared" si="57"/>
        <v>120000</v>
      </c>
      <c r="N375" s="9">
        <f t="shared" si="58"/>
        <v>78000</v>
      </c>
      <c r="O375" s="7" t="s">
        <v>1007</v>
      </c>
      <c r="P375" s="10">
        <f t="shared" si="59"/>
        <v>0</v>
      </c>
      <c r="Q375" s="9">
        <f t="shared" si="60"/>
        <v>0</v>
      </c>
      <c r="R375" s="9">
        <f t="shared" si="61"/>
        <v>5000</v>
      </c>
      <c r="S375" s="9" t="str">
        <f t="shared" si="62"/>
        <v>Loss</v>
      </c>
      <c r="T375" s="7" t="str">
        <f t="shared" si="63"/>
        <v>Feb</v>
      </c>
      <c r="U375" s="7">
        <f t="shared" si="64"/>
        <v>2025</v>
      </c>
      <c r="V375" s="7" t="str">
        <f t="shared" si="65"/>
        <v>20-25</v>
      </c>
    </row>
    <row r="376" spans="1:22" x14ac:dyDescent="0.3">
      <c r="A376" s="7" t="s">
        <v>393</v>
      </c>
      <c r="B376" s="8" t="s">
        <v>1397</v>
      </c>
      <c r="C376" s="8">
        <v>33</v>
      </c>
      <c r="D376" s="8" t="s">
        <v>721</v>
      </c>
      <c r="E376" s="8" t="s">
        <v>724</v>
      </c>
      <c r="F376" s="7" t="s">
        <v>727</v>
      </c>
      <c r="G376" s="7" t="s">
        <v>905</v>
      </c>
      <c r="H376" s="7" t="s">
        <v>982</v>
      </c>
      <c r="I376" s="7" t="s">
        <v>965</v>
      </c>
      <c r="J376" s="7">
        <f t="shared" si="55"/>
        <v>10</v>
      </c>
      <c r="K376" s="9">
        <f t="shared" si="56"/>
        <v>120000</v>
      </c>
      <c r="L376" s="7">
        <v>1</v>
      </c>
      <c r="M376" s="9">
        <f t="shared" si="57"/>
        <v>120000</v>
      </c>
      <c r="N376" s="9">
        <f t="shared" si="58"/>
        <v>78000</v>
      </c>
      <c r="O376" s="7" t="s">
        <v>1006</v>
      </c>
      <c r="P376" s="10">
        <f t="shared" si="59"/>
        <v>0.15</v>
      </c>
      <c r="Q376" s="9">
        <f t="shared" si="60"/>
        <v>18000</v>
      </c>
      <c r="R376" s="9">
        <f t="shared" si="61"/>
        <v>102000</v>
      </c>
      <c r="S376" s="9" t="str">
        <f t="shared" si="62"/>
        <v>Profit</v>
      </c>
      <c r="T376" s="7" t="str">
        <f t="shared" si="63"/>
        <v>Aug</v>
      </c>
      <c r="U376" s="7">
        <f t="shared" si="64"/>
        <v>2025</v>
      </c>
      <c r="V376" s="7" t="str">
        <f t="shared" si="65"/>
        <v>30-35</v>
      </c>
    </row>
    <row r="377" spans="1:22" x14ac:dyDescent="0.3">
      <c r="A377" s="7" t="s">
        <v>394</v>
      </c>
      <c r="B377" s="8" t="s">
        <v>1398</v>
      </c>
      <c r="C377" s="8">
        <v>29</v>
      </c>
      <c r="D377" s="8" t="s">
        <v>721</v>
      </c>
      <c r="E377" s="8" t="s">
        <v>726</v>
      </c>
      <c r="F377" s="7" t="s">
        <v>1729</v>
      </c>
      <c r="G377" s="7" t="s">
        <v>919</v>
      </c>
      <c r="H377" s="7" t="s">
        <v>772</v>
      </c>
      <c r="I377" s="7" t="s">
        <v>973</v>
      </c>
      <c r="J377" s="7">
        <f t="shared" si="55"/>
        <v>4</v>
      </c>
      <c r="K377" s="9">
        <f t="shared" si="56"/>
        <v>18000</v>
      </c>
      <c r="L377" s="7">
        <v>1</v>
      </c>
      <c r="M377" s="9">
        <f t="shared" si="57"/>
        <v>18000</v>
      </c>
      <c r="N377" s="9">
        <f t="shared" si="58"/>
        <v>9000</v>
      </c>
      <c r="O377" s="7" t="s">
        <v>1006</v>
      </c>
      <c r="P377" s="10">
        <f t="shared" si="59"/>
        <v>0.05</v>
      </c>
      <c r="Q377" s="9">
        <f t="shared" si="60"/>
        <v>900</v>
      </c>
      <c r="R377" s="9">
        <f t="shared" si="61"/>
        <v>17100</v>
      </c>
      <c r="S377" s="9" t="str">
        <f t="shared" si="62"/>
        <v>Profit</v>
      </c>
      <c r="T377" s="7" t="str">
        <f t="shared" si="63"/>
        <v>Aug</v>
      </c>
      <c r="U377" s="7">
        <f t="shared" si="64"/>
        <v>2025</v>
      </c>
      <c r="V377" s="7" t="str">
        <f t="shared" si="65"/>
        <v>25-30</v>
      </c>
    </row>
    <row r="378" spans="1:22" x14ac:dyDescent="0.3">
      <c r="A378" s="7" t="s">
        <v>395</v>
      </c>
      <c r="B378" s="8" t="s">
        <v>1399</v>
      </c>
      <c r="C378" s="8">
        <v>36</v>
      </c>
      <c r="D378" s="8" t="s">
        <v>720</v>
      </c>
      <c r="E378" s="8" t="s">
        <v>724</v>
      </c>
      <c r="F378" s="7" t="s">
        <v>727</v>
      </c>
      <c r="G378" s="7" t="s">
        <v>920</v>
      </c>
      <c r="H378" s="7" t="s">
        <v>898</v>
      </c>
      <c r="I378" s="7" t="s">
        <v>905</v>
      </c>
      <c r="J378" s="7">
        <f t="shared" si="55"/>
        <v>10</v>
      </c>
      <c r="K378" s="9">
        <f t="shared" si="56"/>
        <v>120000</v>
      </c>
      <c r="L378" s="7">
        <v>4</v>
      </c>
      <c r="M378" s="9">
        <f t="shared" si="57"/>
        <v>480000</v>
      </c>
      <c r="N378" s="9">
        <f t="shared" si="58"/>
        <v>312000</v>
      </c>
      <c r="O378" s="7" t="s">
        <v>1006</v>
      </c>
      <c r="P378" s="10">
        <f t="shared" si="59"/>
        <v>0.15</v>
      </c>
      <c r="Q378" s="9">
        <f t="shared" si="60"/>
        <v>72000</v>
      </c>
      <c r="R378" s="9">
        <f t="shared" si="61"/>
        <v>408000</v>
      </c>
      <c r="S378" s="9" t="str">
        <f t="shared" si="62"/>
        <v>Profit</v>
      </c>
      <c r="T378" s="7" t="str">
        <f t="shared" si="63"/>
        <v>Jul</v>
      </c>
      <c r="U378" s="7">
        <f t="shared" si="64"/>
        <v>2025</v>
      </c>
      <c r="V378" s="7" t="str">
        <f t="shared" si="65"/>
        <v>35-40</v>
      </c>
    </row>
    <row r="379" spans="1:22" x14ac:dyDescent="0.3">
      <c r="A379" s="7" t="s">
        <v>396</v>
      </c>
      <c r="B379" s="8" t="s">
        <v>1400</v>
      </c>
      <c r="C379" s="8">
        <v>34</v>
      </c>
      <c r="D379" s="8" t="s">
        <v>720</v>
      </c>
      <c r="E379" s="8" t="s">
        <v>725</v>
      </c>
      <c r="F379" s="7" t="s">
        <v>732</v>
      </c>
      <c r="G379" s="7" t="s">
        <v>771</v>
      </c>
      <c r="H379" s="7" t="s">
        <v>848</v>
      </c>
      <c r="I379" s="7" t="s">
        <v>740</v>
      </c>
      <c r="J379" s="7">
        <f t="shared" si="55"/>
        <v>8</v>
      </c>
      <c r="K379" s="9">
        <f t="shared" si="56"/>
        <v>80000</v>
      </c>
      <c r="L379" s="7">
        <v>2</v>
      </c>
      <c r="M379" s="9">
        <f t="shared" si="57"/>
        <v>160000</v>
      </c>
      <c r="N379" s="9">
        <f t="shared" si="58"/>
        <v>96000</v>
      </c>
      <c r="O379" s="7" t="s">
        <v>1006</v>
      </c>
      <c r="P379" s="10">
        <f t="shared" si="59"/>
        <v>0.12</v>
      </c>
      <c r="Q379" s="9">
        <f t="shared" si="60"/>
        <v>19200</v>
      </c>
      <c r="R379" s="9">
        <f t="shared" si="61"/>
        <v>140800</v>
      </c>
      <c r="S379" s="9" t="str">
        <f t="shared" si="62"/>
        <v>Profit</v>
      </c>
      <c r="T379" s="7" t="str">
        <f t="shared" si="63"/>
        <v>Mar</v>
      </c>
      <c r="U379" s="7">
        <f t="shared" si="64"/>
        <v>2025</v>
      </c>
      <c r="V379" s="7" t="str">
        <f t="shared" si="65"/>
        <v>30-35</v>
      </c>
    </row>
    <row r="380" spans="1:22" x14ac:dyDescent="0.3">
      <c r="A380" s="7" t="s">
        <v>397</v>
      </c>
      <c r="B380" s="8" t="s">
        <v>1401</v>
      </c>
      <c r="C380" s="8">
        <v>29</v>
      </c>
      <c r="D380" s="8" t="s">
        <v>721</v>
      </c>
      <c r="E380" s="8" t="s">
        <v>725</v>
      </c>
      <c r="F380" s="7" t="s">
        <v>1730</v>
      </c>
      <c r="G380" s="7" t="s">
        <v>769</v>
      </c>
      <c r="H380" s="7" t="s">
        <v>972</v>
      </c>
      <c r="I380" s="7" t="s">
        <v>877</v>
      </c>
      <c r="J380" s="7">
        <f t="shared" si="55"/>
        <v>8</v>
      </c>
      <c r="K380" s="9">
        <f t="shared" si="56"/>
        <v>80000</v>
      </c>
      <c r="L380" s="7">
        <v>2</v>
      </c>
      <c r="M380" s="9">
        <f t="shared" si="57"/>
        <v>160000</v>
      </c>
      <c r="N380" s="9">
        <f t="shared" si="58"/>
        <v>96000</v>
      </c>
      <c r="O380" s="7" t="s">
        <v>1006</v>
      </c>
      <c r="P380" s="10">
        <f t="shared" si="59"/>
        <v>0.12</v>
      </c>
      <c r="Q380" s="9">
        <f t="shared" si="60"/>
        <v>19200</v>
      </c>
      <c r="R380" s="9">
        <f t="shared" si="61"/>
        <v>140800</v>
      </c>
      <c r="S380" s="9" t="str">
        <f t="shared" si="62"/>
        <v>Profit</v>
      </c>
      <c r="T380" s="7" t="str">
        <f t="shared" si="63"/>
        <v>Feb</v>
      </c>
      <c r="U380" s="7">
        <f t="shared" si="64"/>
        <v>2025</v>
      </c>
      <c r="V380" s="7" t="str">
        <f t="shared" si="65"/>
        <v>25-30</v>
      </c>
    </row>
    <row r="381" spans="1:22" x14ac:dyDescent="0.3">
      <c r="A381" s="7" t="s">
        <v>398</v>
      </c>
      <c r="B381" s="8" t="s">
        <v>1402</v>
      </c>
      <c r="C381" s="8">
        <v>50</v>
      </c>
      <c r="D381" s="8" t="s">
        <v>721</v>
      </c>
      <c r="E381" s="8" t="s">
        <v>724</v>
      </c>
      <c r="F381" s="7" t="s">
        <v>733</v>
      </c>
      <c r="G381" s="7" t="s">
        <v>810</v>
      </c>
      <c r="H381" s="7" t="s">
        <v>787</v>
      </c>
      <c r="I381" s="7" t="s">
        <v>847</v>
      </c>
      <c r="J381" s="7">
        <f t="shared" si="55"/>
        <v>10</v>
      </c>
      <c r="K381" s="9">
        <f t="shared" si="56"/>
        <v>120000</v>
      </c>
      <c r="L381" s="7">
        <v>3</v>
      </c>
      <c r="M381" s="9">
        <f t="shared" si="57"/>
        <v>360000</v>
      </c>
      <c r="N381" s="9">
        <f t="shared" si="58"/>
        <v>234000</v>
      </c>
      <c r="O381" s="7" t="s">
        <v>1006</v>
      </c>
      <c r="P381" s="10">
        <f t="shared" si="59"/>
        <v>0.15</v>
      </c>
      <c r="Q381" s="9">
        <f t="shared" si="60"/>
        <v>54000</v>
      </c>
      <c r="R381" s="9">
        <f t="shared" si="61"/>
        <v>306000</v>
      </c>
      <c r="S381" s="9" t="str">
        <f t="shared" si="62"/>
        <v>Profit</v>
      </c>
      <c r="T381" s="7" t="str">
        <f t="shared" si="63"/>
        <v>Jun</v>
      </c>
      <c r="U381" s="7">
        <f t="shared" si="64"/>
        <v>2025</v>
      </c>
      <c r="V381" s="7" t="str">
        <f t="shared" si="65"/>
        <v>50-55</v>
      </c>
    </row>
    <row r="382" spans="1:22" x14ac:dyDescent="0.3">
      <c r="A382" s="7" t="s">
        <v>399</v>
      </c>
      <c r="B382" s="8" t="s">
        <v>1403</v>
      </c>
      <c r="C382" s="8">
        <v>47</v>
      </c>
      <c r="D382" s="8" t="s">
        <v>721</v>
      </c>
      <c r="E382" s="8" t="s">
        <v>724</v>
      </c>
      <c r="F382" s="7" t="s">
        <v>1736</v>
      </c>
      <c r="G382" s="7" t="s">
        <v>745</v>
      </c>
      <c r="H382" s="7" t="s">
        <v>910</v>
      </c>
      <c r="I382" s="7" t="s">
        <v>786</v>
      </c>
      <c r="J382" s="7">
        <f t="shared" si="55"/>
        <v>10</v>
      </c>
      <c r="K382" s="9">
        <f t="shared" si="56"/>
        <v>120000</v>
      </c>
      <c r="L382" s="7">
        <v>3</v>
      </c>
      <c r="M382" s="9">
        <f t="shared" si="57"/>
        <v>360000</v>
      </c>
      <c r="N382" s="9">
        <f t="shared" si="58"/>
        <v>234000</v>
      </c>
      <c r="O382" s="7" t="s">
        <v>1007</v>
      </c>
      <c r="P382" s="10">
        <f t="shared" si="59"/>
        <v>0</v>
      </c>
      <c r="Q382" s="9">
        <f t="shared" si="60"/>
        <v>0</v>
      </c>
      <c r="R382" s="9">
        <f t="shared" si="61"/>
        <v>5000</v>
      </c>
      <c r="S382" s="9" t="str">
        <f t="shared" si="62"/>
        <v>Loss</v>
      </c>
      <c r="T382" s="7" t="str">
        <f t="shared" si="63"/>
        <v>Jun</v>
      </c>
      <c r="U382" s="7">
        <f t="shared" si="64"/>
        <v>2025</v>
      </c>
      <c r="V382" s="7" t="str">
        <f t="shared" si="65"/>
        <v>45-50</v>
      </c>
    </row>
    <row r="383" spans="1:22" x14ac:dyDescent="0.3">
      <c r="A383" s="7" t="s">
        <v>400</v>
      </c>
      <c r="B383" s="8" t="s">
        <v>1404</v>
      </c>
      <c r="C383" s="8">
        <v>26</v>
      </c>
      <c r="D383" s="8" t="s">
        <v>720</v>
      </c>
      <c r="E383" s="8" t="s">
        <v>723</v>
      </c>
      <c r="F383" s="7" t="s">
        <v>733</v>
      </c>
      <c r="G383" s="7" t="s">
        <v>893</v>
      </c>
      <c r="H383" s="7" t="s">
        <v>980</v>
      </c>
      <c r="I383" s="7" t="s">
        <v>976</v>
      </c>
      <c r="J383" s="7">
        <f t="shared" si="55"/>
        <v>7</v>
      </c>
      <c r="K383" s="9">
        <f t="shared" si="56"/>
        <v>70000</v>
      </c>
      <c r="L383" s="7">
        <v>1</v>
      </c>
      <c r="M383" s="9">
        <f t="shared" si="57"/>
        <v>70000</v>
      </c>
      <c r="N383" s="9">
        <f t="shared" si="58"/>
        <v>42000</v>
      </c>
      <c r="O383" s="7" t="s">
        <v>1006</v>
      </c>
      <c r="P383" s="10">
        <f t="shared" si="59"/>
        <v>7.0000000000000007E-2</v>
      </c>
      <c r="Q383" s="9">
        <f t="shared" si="60"/>
        <v>4900.0000000000009</v>
      </c>
      <c r="R383" s="9">
        <f t="shared" si="61"/>
        <v>65100</v>
      </c>
      <c r="S383" s="9" t="str">
        <f t="shared" si="62"/>
        <v>Profit</v>
      </c>
      <c r="T383" s="7" t="str">
        <f t="shared" si="63"/>
        <v>Aug</v>
      </c>
      <c r="U383" s="7">
        <f t="shared" si="64"/>
        <v>2025</v>
      </c>
      <c r="V383" s="7" t="str">
        <f t="shared" si="65"/>
        <v>25-30</v>
      </c>
    </row>
    <row r="384" spans="1:22" x14ac:dyDescent="0.3">
      <c r="A384" s="7" t="s">
        <v>401</v>
      </c>
      <c r="B384" s="8" t="s">
        <v>1405</v>
      </c>
      <c r="C384" s="8">
        <v>25</v>
      </c>
      <c r="D384" s="8" t="s">
        <v>721</v>
      </c>
      <c r="E384" s="8" t="s">
        <v>725</v>
      </c>
      <c r="F384" s="7" t="s">
        <v>729</v>
      </c>
      <c r="G384" s="7" t="s">
        <v>921</v>
      </c>
      <c r="H384" s="7" t="s">
        <v>767</v>
      </c>
      <c r="I384" s="7" t="s">
        <v>858</v>
      </c>
      <c r="J384" s="7">
        <f t="shared" si="55"/>
        <v>8</v>
      </c>
      <c r="K384" s="9">
        <f t="shared" si="56"/>
        <v>80000</v>
      </c>
      <c r="L384" s="7">
        <v>2</v>
      </c>
      <c r="M384" s="9">
        <f t="shared" si="57"/>
        <v>160000</v>
      </c>
      <c r="N384" s="9">
        <f t="shared" si="58"/>
        <v>96000</v>
      </c>
      <c r="O384" s="7" t="s">
        <v>1006</v>
      </c>
      <c r="P384" s="10">
        <f t="shared" si="59"/>
        <v>0.12</v>
      </c>
      <c r="Q384" s="9">
        <f t="shared" si="60"/>
        <v>19200</v>
      </c>
      <c r="R384" s="9">
        <f t="shared" si="61"/>
        <v>140800</v>
      </c>
      <c r="S384" s="9" t="str">
        <f t="shared" si="62"/>
        <v>Profit</v>
      </c>
      <c r="T384" s="7" t="str">
        <f t="shared" si="63"/>
        <v>Mar</v>
      </c>
      <c r="U384" s="7">
        <f t="shared" si="64"/>
        <v>2025</v>
      </c>
      <c r="V384" s="7" t="str">
        <f t="shared" si="65"/>
        <v>25-30</v>
      </c>
    </row>
    <row r="385" spans="1:22" x14ac:dyDescent="0.3">
      <c r="A385" s="7" t="s">
        <v>402</v>
      </c>
      <c r="B385" s="8" t="s">
        <v>1406</v>
      </c>
      <c r="C385" s="8">
        <v>30</v>
      </c>
      <c r="D385" s="8" t="s">
        <v>720</v>
      </c>
      <c r="E385" s="8" t="s">
        <v>725</v>
      </c>
      <c r="F385" s="7" t="s">
        <v>732</v>
      </c>
      <c r="G385" s="7" t="s">
        <v>922</v>
      </c>
      <c r="H385" s="7" t="s">
        <v>896</v>
      </c>
      <c r="I385" s="7" t="s">
        <v>940</v>
      </c>
      <c r="J385" s="7">
        <f t="shared" si="55"/>
        <v>8</v>
      </c>
      <c r="K385" s="9">
        <f t="shared" si="56"/>
        <v>80000</v>
      </c>
      <c r="L385" s="7">
        <v>2</v>
      </c>
      <c r="M385" s="9">
        <f t="shared" si="57"/>
        <v>160000</v>
      </c>
      <c r="N385" s="9">
        <f t="shared" si="58"/>
        <v>96000</v>
      </c>
      <c r="O385" s="7" t="s">
        <v>1006</v>
      </c>
      <c r="P385" s="10">
        <f t="shared" si="59"/>
        <v>0.12</v>
      </c>
      <c r="Q385" s="9">
        <f t="shared" si="60"/>
        <v>19200</v>
      </c>
      <c r="R385" s="9">
        <f t="shared" si="61"/>
        <v>140800</v>
      </c>
      <c r="S385" s="9" t="str">
        <f t="shared" si="62"/>
        <v>Profit</v>
      </c>
      <c r="T385" s="7" t="str">
        <f t="shared" si="63"/>
        <v>Feb</v>
      </c>
      <c r="U385" s="7">
        <f t="shared" si="64"/>
        <v>2025</v>
      </c>
      <c r="V385" s="7" t="str">
        <f t="shared" si="65"/>
        <v>30-35</v>
      </c>
    </row>
    <row r="386" spans="1:22" x14ac:dyDescent="0.3">
      <c r="A386" s="7" t="s">
        <v>403</v>
      </c>
      <c r="B386" s="8" t="s">
        <v>1407</v>
      </c>
      <c r="C386" s="8">
        <v>26</v>
      </c>
      <c r="D386" s="8" t="s">
        <v>720</v>
      </c>
      <c r="E386" s="8" t="s">
        <v>723</v>
      </c>
      <c r="F386" s="7" t="s">
        <v>732</v>
      </c>
      <c r="G386" s="7" t="s">
        <v>798</v>
      </c>
      <c r="H386" s="7" t="s">
        <v>894</v>
      </c>
      <c r="I386" s="7" t="s">
        <v>948</v>
      </c>
      <c r="J386" s="7">
        <f t="shared" si="55"/>
        <v>7</v>
      </c>
      <c r="K386" s="9">
        <f t="shared" si="56"/>
        <v>70000</v>
      </c>
      <c r="L386" s="7">
        <v>4</v>
      </c>
      <c r="M386" s="9">
        <f t="shared" si="57"/>
        <v>280000</v>
      </c>
      <c r="N386" s="9">
        <f t="shared" si="58"/>
        <v>168000</v>
      </c>
      <c r="O386" s="7" t="s">
        <v>1007</v>
      </c>
      <c r="P386" s="10">
        <f t="shared" si="59"/>
        <v>0</v>
      </c>
      <c r="Q386" s="9">
        <f t="shared" si="60"/>
        <v>0</v>
      </c>
      <c r="R386" s="9">
        <f t="shared" si="61"/>
        <v>5000</v>
      </c>
      <c r="S386" s="9" t="str">
        <f t="shared" si="62"/>
        <v>Loss</v>
      </c>
      <c r="T386" s="7" t="str">
        <f t="shared" si="63"/>
        <v>Feb</v>
      </c>
      <c r="U386" s="7">
        <f t="shared" si="64"/>
        <v>2025</v>
      </c>
      <c r="V386" s="7" t="str">
        <f t="shared" si="65"/>
        <v>25-30</v>
      </c>
    </row>
    <row r="387" spans="1:22" x14ac:dyDescent="0.3">
      <c r="A387" s="7" t="s">
        <v>404</v>
      </c>
      <c r="B387" s="8" t="s">
        <v>1408</v>
      </c>
      <c r="C387" s="8">
        <v>21</v>
      </c>
      <c r="D387" s="8" t="s">
        <v>721</v>
      </c>
      <c r="E387" s="8" t="s">
        <v>723</v>
      </c>
      <c r="F387" s="7" t="s">
        <v>735</v>
      </c>
      <c r="G387" s="7" t="s">
        <v>838</v>
      </c>
      <c r="H387" s="7" t="s">
        <v>830</v>
      </c>
      <c r="I387" s="7" t="s">
        <v>997</v>
      </c>
      <c r="J387" s="7">
        <f t="shared" si="55"/>
        <v>7</v>
      </c>
      <c r="K387" s="9">
        <f t="shared" si="56"/>
        <v>70000</v>
      </c>
      <c r="L387" s="7">
        <v>2</v>
      </c>
      <c r="M387" s="9">
        <f t="shared" si="57"/>
        <v>140000</v>
      </c>
      <c r="N387" s="9">
        <f t="shared" si="58"/>
        <v>84000</v>
      </c>
      <c r="O387" s="7" t="s">
        <v>1006</v>
      </c>
      <c r="P387" s="10">
        <f t="shared" si="59"/>
        <v>7.0000000000000007E-2</v>
      </c>
      <c r="Q387" s="9">
        <f t="shared" si="60"/>
        <v>9800.0000000000018</v>
      </c>
      <c r="R387" s="9">
        <f t="shared" si="61"/>
        <v>130200</v>
      </c>
      <c r="S387" s="9" t="str">
        <f t="shared" si="62"/>
        <v>Profit</v>
      </c>
      <c r="T387" s="7" t="str">
        <f t="shared" si="63"/>
        <v>Aug</v>
      </c>
      <c r="U387" s="7">
        <f t="shared" si="64"/>
        <v>2025</v>
      </c>
      <c r="V387" s="7" t="str">
        <f t="shared" si="65"/>
        <v>20-25</v>
      </c>
    </row>
    <row r="388" spans="1:22" x14ac:dyDescent="0.3">
      <c r="A388" s="7" t="s">
        <v>405</v>
      </c>
      <c r="B388" s="8" t="s">
        <v>1409</v>
      </c>
      <c r="C388" s="8">
        <v>38</v>
      </c>
      <c r="D388" s="8" t="s">
        <v>721</v>
      </c>
      <c r="E388" s="8" t="s">
        <v>722</v>
      </c>
      <c r="F388" s="7" t="s">
        <v>730</v>
      </c>
      <c r="G388" s="7" t="s">
        <v>858</v>
      </c>
      <c r="H388" s="7" t="s">
        <v>782</v>
      </c>
      <c r="I388" s="7" t="s">
        <v>746</v>
      </c>
      <c r="J388" s="7">
        <f t="shared" ref="J388:J451" si="66">IF(E388="Adventure",5,IF(E388="Domestic",4,IF(E388="Family",7,IF(E388="Honeymoon",8,IF(E388="International",10,"")))))</f>
        <v>5</v>
      </c>
      <c r="K388" s="9">
        <f t="shared" ref="K388:K451" si="67">IF(E388="Adventure",60000,
IF(E388="Domestic",18000,
IF(E388="Family",70000,
IF(E388="Honeymoon",80000,
IF(E388="International",120000,"")))))</f>
        <v>60000</v>
      </c>
      <c r="L388" s="7">
        <v>4</v>
      </c>
      <c r="M388" s="9">
        <f t="shared" ref="M388:M451" si="68">K388*L388</f>
        <v>240000</v>
      </c>
      <c r="N388" s="9">
        <f t="shared" ref="N388:N451" si="69">IF(E388="Adventure",M388*65%,IF(E388="Domestic",M388*50%,IF(E388="Family",M388*60%,IF(E388="Honeymoon",M388*60%,IF(E388="International",M388*65%,0)))))</f>
        <v>156000</v>
      </c>
      <c r="O388" s="7" t="s">
        <v>1006</v>
      </c>
      <c r="P388" s="10">
        <f t="shared" ref="P388:P451" si="70">IF(O388="Cancelled",0,IF(E388="Domestic",5%,IF(E388="Adventure",10%,IF(E388="Family",7%,IF(E388="Honeymoon",12%,IF(E388="International",15%,0))))))</f>
        <v>0.1</v>
      </c>
      <c r="Q388" s="9">
        <f t="shared" ref="Q388:Q451" si="71">M388*P388</f>
        <v>24000</v>
      </c>
      <c r="R388" s="9">
        <f t="shared" ref="R388:R451" si="72">IF(O388="Cancelled",5000,M388-Q388)</f>
        <v>216000</v>
      </c>
      <c r="S388" s="9" t="str">
        <f t="shared" ref="S388:S451" si="73">IF(R388-N388&gt;5000,"Profit","Loss")</f>
        <v>Profit</v>
      </c>
      <c r="T388" s="7" t="str">
        <f t="shared" ref="T388:T451" si="74">TEXT(G388,"mmm")</f>
        <v>Apr</v>
      </c>
      <c r="U388" s="7">
        <f t="shared" ref="U388:U451" si="75">YEAR(G388)</f>
        <v>2025</v>
      </c>
      <c r="V388" s="7" t="str">
        <f t="shared" ref="V388:V451" si="76">FLOOR(C388,5) &amp; "-" &amp; FLOOR(C388,5)+5</f>
        <v>35-40</v>
      </c>
    </row>
    <row r="389" spans="1:22" x14ac:dyDescent="0.3">
      <c r="A389" s="7" t="s">
        <v>406</v>
      </c>
      <c r="B389" s="8" t="s">
        <v>1410</v>
      </c>
      <c r="C389" s="8">
        <v>22</v>
      </c>
      <c r="D389" s="8" t="s">
        <v>721</v>
      </c>
      <c r="E389" s="8" t="s">
        <v>726</v>
      </c>
      <c r="F389" s="7" t="s">
        <v>1728</v>
      </c>
      <c r="G389" s="7" t="s">
        <v>923</v>
      </c>
      <c r="H389" s="7" t="s">
        <v>828</v>
      </c>
      <c r="I389" s="7" t="s">
        <v>831</v>
      </c>
      <c r="J389" s="7">
        <f t="shared" si="66"/>
        <v>4</v>
      </c>
      <c r="K389" s="9">
        <f t="shared" si="67"/>
        <v>18000</v>
      </c>
      <c r="L389" s="7">
        <v>3</v>
      </c>
      <c r="M389" s="9">
        <f t="shared" si="68"/>
        <v>54000</v>
      </c>
      <c r="N389" s="9">
        <f t="shared" si="69"/>
        <v>27000</v>
      </c>
      <c r="O389" s="7" t="s">
        <v>1006</v>
      </c>
      <c r="P389" s="10">
        <f t="shared" si="70"/>
        <v>0.05</v>
      </c>
      <c r="Q389" s="9">
        <f t="shared" si="71"/>
        <v>2700</v>
      </c>
      <c r="R389" s="9">
        <f t="shared" si="72"/>
        <v>51300</v>
      </c>
      <c r="S389" s="9" t="str">
        <f t="shared" si="73"/>
        <v>Profit</v>
      </c>
      <c r="T389" s="7" t="str">
        <f t="shared" si="74"/>
        <v>Jan</v>
      </c>
      <c r="U389" s="7">
        <f t="shared" si="75"/>
        <v>2025</v>
      </c>
      <c r="V389" s="7" t="str">
        <f t="shared" si="76"/>
        <v>20-25</v>
      </c>
    </row>
    <row r="390" spans="1:22" x14ac:dyDescent="0.3">
      <c r="A390" s="7" t="s">
        <v>407</v>
      </c>
      <c r="B390" s="8" t="s">
        <v>1411</v>
      </c>
      <c r="C390" s="8">
        <v>31</v>
      </c>
      <c r="D390" s="8" t="s">
        <v>720</v>
      </c>
      <c r="E390" s="8" t="s">
        <v>725</v>
      </c>
      <c r="F390" s="7" t="s">
        <v>1730</v>
      </c>
      <c r="G390" s="7" t="s">
        <v>748</v>
      </c>
      <c r="H390" s="7" t="s">
        <v>820</v>
      </c>
      <c r="I390" s="7" t="s">
        <v>883</v>
      </c>
      <c r="J390" s="7">
        <f t="shared" si="66"/>
        <v>8</v>
      </c>
      <c r="K390" s="9">
        <f t="shared" si="67"/>
        <v>80000</v>
      </c>
      <c r="L390" s="7">
        <v>2</v>
      </c>
      <c r="M390" s="9">
        <f t="shared" si="68"/>
        <v>160000</v>
      </c>
      <c r="N390" s="9">
        <f t="shared" si="69"/>
        <v>96000</v>
      </c>
      <c r="O390" s="7" t="s">
        <v>1007</v>
      </c>
      <c r="P390" s="10">
        <f t="shared" si="70"/>
        <v>0</v>
      </c>
      <c r="Q390" s="9">
        <f t="shared" si="71"/>
        <v>0</v>
      </c>
      <c r="R390" s="9">
        <f t="shared" si="72"/>
        <v>5000</v>
      </c>
      <c r="S390" s="9" t="str">
        <f t="shared" si="73"/>
        <v>Loss</v>
      </c>
      <c r="T390" s="7" t="str">
        <f t="shared" si="74"/>
        <v>May</v>
      </c>
      <c r="U390" s="7">
        <f t="shared" si="75"/>
        <v>2025</v>
      </c>
      <c r="V390" s="7" t="str">
        <f t="shared" si="76"/>
        <v>30-35</v>
      </c>
    </row>
    <row r="391" spans="1:22" x14ac:dyDescent="0.3">
      <c r="A391" s="7" t="s">
        <v>408</v>
      </c>
      <c r="B391" s="8" t="s">
        <v>1412</v>
      </c>
      <c r="C391" s="8">
        <v>52</v>
      </c>
      <c r="D391" s="8" t="s">
        <v>721</v>
      </c>
      <c r="E391" s="8" t="s">
        <v>726</v>
      </c>
      <c r="F391" s="7" t="s">
        <v>1730</v>
      </c>
      <c r="G391" s="7" t="s">
        <v>812</v>
      </c>
      <c r="H391" s="7" t="s">
        <v>947</v>
      </c>
      <c r="I391" s="7" t="s">
        <v>793</v>
      </c>
      <c r="J391" s="7">
        <f t="shared" si="66"/>
        <v>4</v>
      </c>
      <c r="K391" s="9">
        <f t="shared" si="67"/>
        <v>18000</v>
      </c>
      <c r="L391" s="7">
        <v>2</v>
      </c>
      <c r="M391" s="9">
        <f t="shared" si="68"/>
        <v>36000</v>
      </c>
      <c r="N391" s="9">
        <f t="shared" si="69"/>
        <v>18000</v>
      </c>
      <c r="O391" s="7" t="s">
        <v>1007</v>
      </c>
      <c r="P391" s="10">
        <f t="shared" si="70"/>
        <v>0</v>
      </c>
      <c r="Q391" s="9">
        <f t="shared" si="71"/>
        <v>0</v>
      </c>
      <c r="R391" s="9">
        <f t="shared" si="72"/>
        <v>5000</v>
      </c>
      <c r="S391" s="9" t="str">
        <f t="shared" si="73"/>
        <v>Loss</v>
      </c>
      <c r="T391" s="7" t="str">
        <f t="shared" si="74"/>
        <v>Jul</v>
      </c>
      <c r="U391" s="7">
        <f t="shared" si="75"/>
        <v>2025</v>
      </c>
      <c r="V391" s="7" t="str">
        <f t="shared" si="76"/>
        <v>50-55</v>
      </c>
    </row>
    <row r="392" spans="1:22" x14ac:dyDescent="0.3">
      <c r="A392" s="7" t="s">
        <v>409</v>
      </c>
      <c r="B392" s="8" t="s">
        <v>1413</v>
      </c>
      <c r="C392" s="8">
        <v>22</v>
      </c>
      <c r="D392" s="8" t="s">
        <v>720</v>
      </c>
      <c r="E392" s="8" t="s">
        <v>724</v>
      </c>
      <c r="F392" s="7" t="s">
        <v>727</v>
      </c>
      <c r="G392" s="7" t="s">
        <v>847</v>
      </c>
      <c r="H392" s="7" t="s">
        <v>864</v>
      </c>
      <c r="I392" s="7" t="s">
        <v>931</v>
      </c>
      <c r="J392" s="7">
        <f t="shared" si="66"/>
        <v>10</v>
      </c>
      <c r="K392" s="9">
        <f t="shared" si="67"/>
        <v>120000</v>
      </c>
      <c r="L392" s="7">
        <v>3</v>
      </c>
      <c r="M392" s="9">
        <f t="shared" si="68"/>
        <v>360000</v>
      </c>
      <c r="N392" s="9">
        <f t="shared" si="69"/>
        <v>234000</v>
      </c>
      <c r="O392" s="7" t="s">
        <v>1006</v>
      </c>
      <c r="P392" s="10">
        <f t="shared" si="70"/>
        <v>0.15</v>
      </c>
      <c r="Q392" s="9">
        <f t="shared" si="71"/>
        <v>54000</v>
      </c>
      <c r="R392" s="9">
        <f t="shared" si="72"/>
        <v>306000</v>
      </c>
      <c r="S392" s="9" t="str">
        <f t="shared" si="73"/>
        <v>Profit</v>
      </c>
      <c r="T392" s="7" t="str">
        <f t="shared" si="74"/>
        <v>Jul</v>
      </c>
      <c r="U392" s="7">
        <f t="shared" si="75"/>
        <v>2025</v>
      </c>
      <c r="V392" s="7" t="str">
        <f t="shared" si="76"/>
        <v>20-25</v>
      </c>
    </row>
    <row r="393" spans="1:22" x14ac:dyDescent="0.3">
      <c r="A393" s="7" t="s">
        <v>410</v>
      </c>
      <c r="B393" s="8" t="s">
        <v>1414</v>
      </c>
      <c r="C393" s="8">
        <v>25</v>
      </c>
      <c r="D393" s="8" t="s">
        <v>720</v>
      </c>
      <c r="E393" s="8" t="s">
        <v>725</v>
      </c>
      <c r="F393" s="7" t="s">
        <v>727</v>
      </c>
      <c r="G393" s="7" t="s">
        <v>865</v>
      </c>
      <c r="H393" s="7" t="s">
        <v>753</v>
      </c>
      <c r="I393" s="7" t="s">
        <v>900</v>
      </c>
      <c r="J393" s="7">
        <f t="shared" si="66"/>
        <v>8</v>
      </c>
      <c r="K393" s="9">
        <f t="shared" si="67"/>
        <v>80000</v>
      </c>
      <c r="L393" s="7">
        <v>2</v>
      </c>
      <c r="M393" s="9">
        <f t="shared" si="68"/>
        <v>160000</v>
      </c>
      <c r="N393" s="9">
        <f t="shared" si="69"/>
        <v>96000</v>
      </c>
      <c r="O393" s="7" t="s">
        <v>1006</v>
      </c>
      <c r="P393" s="10">
        <f t="shared" si="70"/>
        <v>0.12</v>
      </c>
      <c r="Q393" s="9">
        <f t="shared" si="71"/>
        <v>19200</v>
      </c>
      <c r="R393" s="9">
        <f t="shared" si="72"/>
        <v>140800</v>
      </c>
      <c r="S393" s="9" t="str">
        <f t="shared" si="73"/>
        <v>Profit</v>
      </c>
      <c r="T393" s="7" t="str">
        <f t="shared" si="74"/>
        <v>Jul</v>
      </c>
      <c r="U393" s="7">
        <f t="shared" si="75"/>
        <v>2025</v>
      </c>
      <c r="V393" s="7" t="str">
        <f t="shared" si="76"/>
        <v>25-30</v>
      </c>
    </row>
    <row r="394" spans="1:22" x14ac:dyDescent="0.3">
      <c r="A394" s="7" t="s">
        <v>411</v>
      </c>
      <c r="B394" s="8" t="s">
        <v>1415</v>
      </c>
      <c r="C394" s="8">
        <v>41</v>
      </c>
      <c r="D394" s="8" t="s">
        <v>720</v>
      </c>
      <c r="E394" s="8" t="s">
        <v>724</v>
      </c>
      <c r="F394" s="7" t="s">
        <v>1735</v>
      </c>
      <c r="G394" s="7" t="s">
        <v>911</v>
      </c>
      <c r="H394" s="7" t="s">
        <v>786</v>
      </c>
      <c r="I394" s="7" t="s">
        <v>914</v>
      </c>
      <c r="J394" s="7">
        <f t="shared" si="66"/>
        <v>10</v>
      </c>
      <c r="K394" s="9">
        <f t="shared" si="67"/>
        <v>120000</v>
      </c>
      <c r="L394" s="7">
        <v>1</v>
      </c>
      <c r="M394" s="9">
        <f t="shared" si="68"/>
        <v>120000</v>
      </c>
      <c r="N394" s="9">
        <f t="shared" si="69"/>
        <v>78000</v>
      </c>
      <c r="O394" s="7" t="s">
        <v>1006</v>
      </c>
      <c r="P394" s="10">
        <f t="shared" si="70"/>
        <v>0.15</v>
      </c>
      <c r="Q394" s="9">
        <f t="shared" si="71"/>
        <v>18000</v>
      </c>
      <c r="R394" s="9">
        <f t="shared" si="72"/>
        <v>102000</v>
      </c>
      <c r="S394" s="9" t="str">
        <f t="shared" si="73"/>
        <v>Profit</v>
      </c>
      <c r="T394" s="7" t="str">
        <f t="shared" si="74"/>
        <v>May</v>
      </c>
      <c r="U394" s="7">
        <f t="shared" si="75"/>
        <v>2025</v>
      </c>
      <c r="V394" s="7" t="str">
        <f t="shared" si="76"/>
        <v>40-45</v>
      </c>
    </row>
    <row r="395" spans="1:22" x14ac:dyDescent="0.3">
      <c r="A395" s="7" t="s">
        <v>412</v>
      </c>
      <c r="B395" s="8" t="s">
        <v>1416</v>
      </c>
      <c r="C395" s="8">
        <v>28</v>
      </c>
      <c r="D395" s="8" t="s">
        <v>721</v>
      </c>
      <c r="E395" s="8" t="s">
        <v>725</v>
      </c>
      <c r="F395" s="7" t="s">
        <v>732</v>
      </c>
      <c r="G395" s="7" t="s">
        <v>924</v>
      </c>
      <c r="H395" s="7" t="s">
        <v>930</v>
      </c>
      <c r="I395" s="7" t="s">
        <v>939</v>
      </c>
      <c r="J395" s="7">
        <f t="shared" si="66"/>
        <v>8</v>
      </c>
      <c r="K395" s="9">
        <f t="shared" si="67"/>
        <v>80000</v>
      </c>
      <c r="L395" s="7">
        <v>2</v>
      </c>
      <c r="M395" s="9">
        <f t="shared" si="68"/>
        <v>160000</v>
      </c>
      <c r="N395" s="9">
        <f t="shared" si="69"/>
        <v>96000</v>
      </c>
      <c r="O395" s="7" t="s">
        <v>1007</v>
      </c>
      <c r="P395" s="10">
        <f t="shared" si="70"/>
        <v>0</v>
      </c>
      <c r="Q395" s="9">
        <f t="shared" si="71"/>
        <v>0</v>
      </c>
      <c r="R395" s="9">
        <f t="shared" si="72"/>
        <v>5000</v>
      </c>
      <c r="S395" s="9" t="str">
        <f t="shared" si="73"/>
        <v>Loss</v>
      </c>
      <c r="T395" s="7" t="str">
        <f t="shared" si="74"/>
        <v>Jun</v>
      </c>
      <c r="U395" s="7">
        <f t="shared" si="75"/>
        <v>2025</v>
      </c>
      <c r="V395" s="7" t="str">
        <f t="shared" si="76"/>
        <v>25-30</v>
      </c>
    </row>
    <row r="396" spans="1:22" x14ac:dyDescent="0.3">
      <c r="A396" s="7" t="s">
        <v>413</v>
      </c>
      <c r="B396" s="8" t="s">
        <v>1417</v>
      </c>
      <c r="C396" s="8">
        <v>28</v>
      </c>
      <c r="D396" s="8" t="s">
        <v>720</v>
      </c>
      <c r="E396" s="8" t="s">
        <v>726</v>
      </c>
      <c r="F396" s="7" t="s">
        <v>1729</v>
      </c>
      <c r="G396" s="7" t="s">
        <v>736</v>
      </c>
      <c r="H396" s="7" t="s">
        <v>873</v>
      </c>
      <c r="I396" s="7" t="s">
        <v>864</v>
      </c>
      <c r="J396" s="7">
        <f t="shared" si="66"/>
        <v>4</v>
      </c>
      <c r="K396" s="9">
        <f t="shared" si="67"/>
        <v>18000</v>
      </c>
      <c r="L396" s="7">
        <v>3</v>
      </c>
      <c r="M396" s="9">
        <f t="shared" si="68"/>
        <v>54000</v>
      </c>
      <c r="N396" s="9">
        <f t="shared" si="69"/>
        <v>27000</v>
      </c>
      <c r="O396" s="7" t="s">
        <v>1006</v>
      </c>
      <c r="P396" s="10">
        <f t="shared" si="70"/>
        <v>0.05</v>
      </c>
      <c r="Q396" s="9">
        <f t="shared" si="71"/>
        <v>2700</v>
      </c>
      <c r="R396" s="9">
        <f t="shared" si="72"/>
        <v>51300</v>
      </c>
      <c r="S396" s="9" t="str">
        <f t="shared" si="73"/>
        <v>Profit</v>
      </c>
      <c r="T396" s="7" t="str">
        <f t="shared" si="74"/>
        <v>Jul</v>
      </c>
      <c r="U396" s="7">
        <f t="shared" si="75"/>
        <v>2025</v>
      </c>
      <c r="V396" s="7" t="str">
        <f t="shared" si="76"/>
        <v>25-30</v>
      </c>
    </row>
    <row r="397" spans="1:22" x14ac:dyDescent="0.3">
      <c r="A397" s="7" t="s">
        <v>414</v>
      </c>
      <c r="B397" s="8" t="s">
        <v>1418</v>
      </c>
      <c r="C397" s="8">
        <v>53</v>
      </c>
      <c r="D397" s="8" t="s">
        <v>720</v>
      </c>
      <c r="E397" s="8" t="s">
        <v>724</v>
      </c>
      <c r="F397" s="7" t="s">
        <v>733</v>
      </c>
      <c r="G397" s="7" t="s">
        <v>745</v>
      </c>
      <c r="H397" s="7" t="s">
        <v>800</v>
      </c>
      <c r="I397" s="7" t="s">
        <v>747</v>
      </c>
      <c r="J397" s="7">
        <f t="shared" si="66"/>
        <v>10</v>
      </c>
      <c r="K397" s="9">
        <f t="shared" si="67"/>
        <v>120000</v>
      </c>
      <c r="L397" s="7">
        <v>4</v>
      </c>
      <c r="M397" s="9">
        <f t="shared" si="68"/>
        <v>480000</v>
      </c>
      <c r="N397" s="9">
        <f t="shared" si="69"/>
        <v>312000</v>
      </c>
      <c r="O397" s="7" t="s">
        <v>1006</v>
      </c>
      <c r="P397" s="10">
        <f t="shared" si="70"/>
        <v>0.15</v>
      </c>
      <c r="Q397" s="9">
        <f t="shared" si="71"/>
        <v>72000</v>
      </c>
      <c r="R397" s="9">
        <f t="shared" si="72"/>
        <v>408000</v>
      </c>
      <c r="S397" s="9" t="str">
        <f t="shared" si="73"/>
        <v>Profit</v>
      </c>
      <c r="T397" s="7" t="str">
        <f t="shared" si="74"/>
        <v>Jun</v>
      </c>
      <c r="U397" s="7">
        <f t="shared" si="75"/>
        <v>2025</v>
      </c>
      <c r="V397" s="7" t="str">
        <f t="shared" si="76"/>
        <v>50-55</v>
      </c>
    </row>
    <row r="398" spans="1:22" x14ac:dyDescent="0.3">
      <c r="A398" s="7" t="s">
        <v>415</v>
      </c>
      <c r="B398" s="8" t="s">
        <v>1419</v>
      </c>
      <c r="C398" s="8">
        <v>58</v>
      </c>
      <c r="D398" s="8" t="s">
        <v>721</v>
      </c>
      <c r="E398" s="8" t="s">
        <v>726</v>
      </c>
      <c r="F398" s="7" t="s">
        <v>732</v>
      </c>
      <c r="G398" s="7" t="s">
        <v>888</v>
      </c>
      <c r="H398" s="7" t="s">
        <v>845</v>
      </c>
      <c r="I398" s="7" t="s">
        <v>935</v>
      </c>
      <c r="J398" s="7">
        <f t="shared" si="66"/>
        <v>4</v>
      </c>
      <c r="K398" s="9">
        <f t="shared" si="67"/>
        <v>18000</v>
      </c>
      <c r="L398" s="7">
        <v>1</v>
      </c>
      <c r="M398" s="9">
        <f t="shared" si="68"/>
        <v>18000</v>
      </c>
      <c r="N398" s="9">
        <f t="shared" si="69"/>
        <v>9000</v>
      </c>
      <c r="O398" s="7" t="s">
        <v>1007</v>
      </c>
      <c r="P398" s="10">
        <f t="shared" si="70"/>
        <v>0</v>
      </c>
      <c r="Q398" s="9">
        <f t="shared" si="71"/>
        <v>0</v>
      </c>
      <c r="R398" s="9">
        <f t="shared" si="72"/>
        <v>5000</v>
      </c>
      <c r="S398" s="9" t="str">
        <f t="shared" si="73"/>
        <v>Loss</v>
      </c>
      <c r="T398" s="7" t="str">
        <f t="shared" si="74"/>
        <v>Mar</v>
      </c>
      <c r="U398" s="7">
        <f t="shared" si="75"/>
        <v>2025</v>
      </c>
      <c r="V398" s="7" t="str">
        <f t="shared" si="76"/>
        <v>55-60</v>
      </c>
    </row>
    <row r="399" spans="1:22" x14ac:dyDescent="0.3">
      <c r="A399" s="7" t="s">
        <v>416</v>
      </c>
      <c r="B399" s="8" t="s">
        <v>1420</v>
      </c>
      <c r="C399" s="8">
        <v>44</v>
      </c>
      <c r="D399" s="8" t="s">
        <v>721</v>
      </c>
      <c r="E399" s="8" t="s">
        <v>726</v>
      </c>
      <c r="F399" s="7" t="s">
        <v>1730</v>
      </c>
      <c r="G399" s="7" t="s">
        <v>743</v>
      </c>
      <c r="H399" s="7" t="s">
        <v>942</v>
      </c>
      <c r="I399" s="7" t="s">
        <v>930</v>
      </c>
      <c r="J399" s="7">
        <f t="shared" si="66"/>
        <v>4</v>
      </c>
      <c r="K399" s="9">
        <f t="shared" si="67"/>
        <v>18000</v>
      </c>
      <c r="L399" s="7">
        <v>2</v>
      </c>
      <c r="M399" s="9">
        <f t="shared" si="68"/>
        <v>36000</v>
      </c>
      <c r="N399" s="9">
        <f t="shared" si="69"/>
        <v>18000</v>
      </c>
      <c r="O399" s="7" t="s">
        <v>1007</v>
      </c>
      <c r="P399" s="10">
        <f t="shared" si="70"/>
        <v>0</v>
      </c>
      <c r="Q399" s="9">
        <f t="shared" si="71"/>
        <v>0</v>
      </c>
      <c r="R399" s="9">
        <f t="shared" si="72"/>
        <v>5000</v>
      </c>
      <c r="S399" s="9" t="str">
        <f t="shared" si="73"/>
        <v>Loss</v>
      </c>
      <c r="T399" s="7" t="str">
        <f t="shared" si="74"/>
        <v>Jun</v>
      </c>
      <c r="U399" s="7">
        <f t="shared" si="75"/>
        <v>2025</v>
      </c>
      <c r="V399" s="7" t="str">
        <f t="shared" si="76"/>
        <v>40-45</v>
      </c>
    </row>
    <row r="400" spans="1:22" x14ac:dyDescent="0.3">
      <c r="A400" s="7" t="s">
        <v>417</v>
      </c>
      <c r="B400" s="8" t="s">
        <v>1421</v>
      </c>
      <c r="C400" s="8">
        <v>19</v>
      </c>
      <c r="D400" s="8" t="s">
        <v>720</v>
      </c>
      <c r="E400" s="8" t="s">
        <v>724</v>
      </c>
      <c r="F400" s="7" t="s">
        <v>734</v>
      </c>
      <c r="G400" s="7" t="s">
        <v>761</v>
      </c>
      <c r="H400" s="7" t="s">
        <v>831</v>
      </c>
      <c r="I400" s="7" t="s">
        <v>861</v>
      </c>
      <c r="J400" s="7">
        <f t="shared" si="66"/>
        <v>10</v>
      </c>
      <c r="K400" s="9">
        <f t="shared" si="67"/>
        <v>120000</v>
      </c>
      <c r="L400" s="7">
        <v>2</v>
      </c>
      <c r="M400" s="9">
        <f t="shared" si="68"/>
        <v>240000</v>
      </c>
      <c r="N400" s="9">
        <f t="shared" si="69"/>
        <v>156000</v>
      </c>
      <c r="O400" s="7" t="s">
        <v>1007</v>
      </c>
      <c r="P400" s="10">
        <f t="shared" si="70"/>
        <v>0</v>
      </c>
      <c r="Q400" s="9">
        <f t="shared" si="71"/>
        <v>0</v>
      </c>
      <c r="R400" s="9">
        <f t="shared" si="72"/>
        <v>5000</v>
      </c>
      <c r="S400" s="9" t="str">
        <f t="shared" si="73"/>
        <v>Loss</v>
      </c>
      <c r="T400" s="7" t="str">
        <f t="shared" si="74"/>
        <v>Jan</v>
      </c>
      <c r="U400" s="7">
        <f t="shared" si="75"/>
        <v>2025</v>
      </c>
      <c r="V400" s="7" t="str">
        <f t="shared" si="76"/>
        <v>15-20</v>
      </c>
    </row>
    <row r="401" spans="1:22" x14ac:dyDescent="0.3">
      <c r="A401" s="7" t="s">
        <v>418</v>
      </c>
      <c r="B401" s="8" t="s">
        <v>1422</v>
      </c>
      <c r="C401" s="8">
        <v>36</v>
      </c>
      <c r="D401" s="8" t="s">
        <v>721</v>
      </c>
      <c r="E401" s="8" t="s">
        <v>726</v>
      </c>
      <c r="F401" s="7" t="s">
        <v>1725</v>
      </c>
      <c r="G401" s="7" t="s">
        <v>835</v>
      </c>
      <c r="H401" s="7" t="s">
        <v>985</v>
      </c>
      <c r="I401" s="7" t="s">
        <v>995</v>
      </c>
      <c r="J401" s="7">
        <f t="shared" si="66"/>
        <v>4</v>
      </c>
      <c r="K401" s="9">
        <f t="shared" si="67"/>
        <v>18000</v>
      </c>
      <c r="L401" s="7">
        <v>2</v>
      </c>
      <c r="M401" s="9">
        <f t="shared" si="68"/>
        <v>36000</v>
      </c>
      <c r="N401" s="9">
        <f t="shared" si="69"/>
        <v>18000</v>
      </c>
      <c r="O401" s="7" t="s">
        <v>1007</v>
      </c>
      <c r="P401" s="10">
        <f t="shared" si="70"/>
        <v>0</v>
      </c>
      <c r="Q401" s="9">
        <f t="shared" si="71"/>
        <v>0</v>
      </c>
      <c r="R401" s="9">
        <f t="shared" si="72"/>
        <v>5000</v>
      </c>
      <c r="S401" s="9" t="str">
        <f t="shared" si="73"/>
        <v>Loss</v>
      </c>
      <c r="T401" s="7" t="str">
        <f t="shared" si="74"/>
        <v>Aug</v>
      </c>
      <c r="U401" s="7">
        <f t="shared" si="75"/>
        <v>2025</v>
      </c>
      <c r="V401" s="7" t="str">
        <f t="shared" si="76"/>
        <v>35-40</v>
      </c>
    </row>
    <row r="402" spans="1:22" x14ac:dyDescent="0.3">
      <c r="A402" s="7" t="s">
        <v>419</v>
      </c>
      <c r="B402" s="8" t="s">
        <v>1423</v>
      </c>
      <c r="C402" s="8">
        <v>43</v>
      </c>
      <c r="D402" s="8" t="s">
        <v>721</v>
      </c>
      <c r="E402" s="8" t="s">
        <v>726</v>
      </c>
      <c r="F402" s="7" t="s">
        <v>1734</v>
      </c>
      <c r="G402" s="7" t="s">
        <v>874</v>
      </c>
      <c r="H402" s="7" t="s">
        <v>946</v>
      </c>
      <c r="I402" s="7" t="s">
        <v>940</v>
      </c>
      <c r="J402" s="7">
        <f t="shared" si="66"/>
        <v>4</v>
      </c>
      <c r="K402" s="9">
        <f t="shared" si="67"/>
        <v>18000</v>
      </c>
      <c r="L402" s="7">
        <v>4</v>
      </c>
      <c r="M402" s="9">
        <f t="shared" si="68"/>
        <v>72000</v>
      </c>
      <c r="N402" s="9">
        <f t="shared" si="69"/>
        <v>36000</v>
      </c>
      <c r="O402" s="7" t="s">
        <v>1006</v>
      </c>
      <c r="P402" s="10">
        <f t="shared" si="70"/>
        <v>0.05</v>
      </c>
      <c r="Q402" s="9">
        <f t="shared" si="71"/>
        <v>3600</v>
      </c>
      <c r="R402" s="9">
        <f t="shared" si="72"/>
        <v>68400</v>
      </c>
      <c r="S402" s="9" t="str">
        <f t="shared" si="73"/>
        <v>Profit</v>
      </c>
      <c r="T402" s="7" t="str">
        <f t="shared" si="74"/>
        <v>Feb</v>
      </c>
      <c r="U402" s="7">
        <f t="shared" si="75"/>
        <v>2025</v>
      </c>
      <c r="V402" s="7" t="str">
        <f t="shared" si="76"/>
        <v>40-45</v>
      </c>
    </row>
    <row r="403" spans="1:22" x14ac:dyDescent="0.3">
      <c r="A403" s="7" t="s">
        <v>420</v>
      </c>
      <c r="B403" s="8" t="s">
        <v>1424</v>
      </c>
      <c r="C403" s="8">
        <v>25</v>
      </c>
      <c r="D403" s="8" t="s">
        <v>721</v>
      </c>
      <c r="E403" s="8" t="s">
        <v>725</v>
      </c>
      <c r="F403" s="7" t="s">
        <v>735</v>
      </c>
      <c r="G403" s="7" t="s">
        <v>888</v>
      </c>
      <c r="H403" s="7" t="s">
        <v>854</v>
      </c>
      <c r="I403" s="7" t="s">
        <v>889</v>
      </c>
      <c r="J403" s="7">
        <f t="shared" si="66"/>
        <v>8</v>
      </c>
      <c r="K403" s="9">
        <f t="shared" si="67"/>
        <v>80000</v>
      </c>
      <c r="L403" s="7">
        <v>2</v>
      </c>
      <c r="M403" s="9">
        <f t="shared" si="68"/>
        <v>160000</v>
      </c>
      <c r="N403" s="9">
        <f t="shared" si="69"/>
        <v>96000</v>
      </c>
      <c r="O403" s="7" t="s">
        <v>1006</v>
      </c>
      <c r="P403" s="10">
        <f t="shared" si="70"/>
        <v>0.12</v>
      </c>
      <c r="Q403" s="9">
        <f t="shared" si="71"/>
        <v>19200</v>
      </c>
      <c r="R403" s="9">
        <f t="shared" si="72"/>
        <v>140800</v>
      </c>
      <c r="S403" s="9" t="str">
        <f t="shared" si="73"/>
        <v>Profit</v>
      </c>
      <c r="T403" s="7" t="str">
        <f t="shared" si="74"/>
        <v>Mar</v>
      </c>
      <c r="U403" s="7">
        <f t="shared" si="75"/>
        <v>2025</v>
      </c>
      <c r="V403" s="7" t="str">
        <f t="shared" si="76"/>
        <v>25-30</v>
      </c>
    </row>
    <row r="404" spans="1:22" x14ac:dyDescent="0.3">
      <c r="A404" s="7" t="s">
        <v>421</v>
      </c>
      <c r="B404" s="8" t="s">
        <v>1425</v>
      </c>
      <c r="C404" s="8">
        <v>42</v>
      </c>
      <c r="D404" s="8" t="s">
        <v>720</v>
      </c>
      <c r="E404" s="8" t="s">
        <v>724</v>
      </c>
      <c r="F404" s="7" t="s">
        <v>734</v>
      </c>
      <c r="G404" s="7" t="s">
        <v>759</v>
      </c>
      <c r="H404" s="7" t="s">
        <v>811</v>
      </c>
      <c r="I404" s="7" t="s">
        <v>893</v>
      </c>
      <c r="J404" s="7">
        <f t="shared" si="66"/>
        <v>10</v>
      </c>
      <c r="K404" s="9">
        <f t="shared" si="67"/>
        <v>120000</v>
      </c>
      <c r="L404" s="7">
        <v>2</v>
      </c>
      <c r="M404" s="9">
        <f t="shared" si="68"/>
        <v>240000</v>
      </c>
      <c r="N404" s="9">
        <f t="shared" si="69"/>
        <v>156000</v>
      </c>
      <c r="O404" s="7" t="s">
        <v>1007</v>
      </c>
      <c r="P404" s="10">
        <f t="shared" si="70"/>
        <v>0</v>
      </c>
      <c r="Q404" s="9">
        <f t="shared" si="71"/>
        <v>0</v>
      </c>
      <c r="R404" s="9">
        <f t="shared" si="72"/>
        <v>5000</v>
      </c>
      <c r="S404" s="9" t="str">
        <f t="shared" si="73"/>
        <v>Loss</v>
      </c>
      <c r="T404" s="7" t="str">
        <f t="shared" si="74"/>
        <v>Jul</v>
      </c>
      <c r="U404" s="7">
        <f t="shared" si="75"/>
        <v>2025</v>
      </c>
      <c r="V404" s="7" t="str">
        <f t="shared" si="76"/>
        <v>40-45</v>
      </c>
    </row>
    <row r="405" spans="1:22" x14ac:dyDescent="0.3">
      <c r="A405" s="7" t="s">
        <v>422</v>
      </c>
      <c r="B405" s="8" t="s">
        <v>1426</v>
      </c>
      <c r="C405" s="8">
        <v>32</v>
      </c>
      <c r="D405" s="8" t="s">
        <v>720</v>
      </c>
      <c r="E405" s="8" t="s">
        <v>723</v>
      </c>
      <c r="F405" s="7" t="s">
        <v>734</v>
      </c>
      <c r="G405" s="7" t="s">
        <v>885</v>
      </c>
      <c r="H405" s="7" t="s">
        <v>933</v>
      </c>
      <c r="I405" s="7" t="s">
        <v>861</v>
      </c>
      <c r="J405" s="7">
        <f t="shared" si="66"/>
        <v>7</v>
      </c>
      <c r="K405" s="9">
        <f t="shared" si="67"/>
        <v>70000</v>
      </c>
      <c r="L405" s="7">
        <v>1</v>
      </c>
      <c r="M405" s="9">
        <f t="shared" si="68"/>
        <v>70000</v>
      </c>
      <c r="N405" s="9">
        <f t="shared" si="69"/>
        <v>42000</v>
      </c>
      <c r="O405" s="7" t="s">
        <v>1006</v>
      </c>
      <c r="P405" s="10">
        <f t="shared" si="70"/>
        <v>7.0000000000000007E-2</v>
      </c>
      <c r="Q405" s="9">
        <f t="shared" si="71"/>
        <v>4900.0000000000009</v>
      </c>
      <c r="R405" s="9">
        <f t="shared" si="72"/>
        <v>65100</v>
      </c>
      <c r="S405" s="9" t="str">
        <f t="shared" si="73"/>
        <v>Profit</v>
      </c>
      <c r="T405" s="7" t="str">
        <f t="shared" si="74"/>
        <v>Jan</v>
      </c>
      <c r="U405" s="7">
        <f t="shared" si="75"/>
        <v>2025</v>
      </c>
      <c r="V405" s="7" t="str">
        <f t="shared" si="76"/>
        <v>30-35</v>
      </c>
    </row>
    <row r="406" spans="1:22" x14ac:dyDescent="0.3">
      <c r="A406" s="7" t="s">
        <v>423</v>
      </c>
      <c r="B406" s="8" t="s">
        <v>1427</v>
      </c>
      <c r="C406" s="8">
        <v>30</v>
      </c>
      <c r="D406" s="8" t="s">
        <v>720</v>
      </c>
      <c r="E406" s="8" t="s">
        <v>722</v>
      </c>
      <c r="F406" s="7" t="s">
        <v>735</v>
      </c>
      <c r="G406" s="7" t="s">
        <v>771</v>
      </c>
      <c r="H406" s="7" t="s">
        <v>760</v>
      </c>
      <c r="I406" s="7" t="s">
        <v>867</v>
      </c>
      <c r="J406" s="7">
        <f t="shared" si="66"/>
        <v>5</v>
      </c>
      <c r="K406" s="9">
        <f t="shared" si="67"/>
        <v>60000</v>
      </c>
      <c r="L406" s="7">
        <v>2</v>
      </c>
      <c r="M406" s="9">
        <f t="shared" si="68"/>
        <v>120000</v>
      </c>
      <c r="N406" s="9">
        <f t="shared" si="69"/>
        <v>78000</v>
      </c>
      <c r="O406" s="7" t="s">
        <v>1007</v>
      </c>
      <c r="P406" s="10">
        <f t="shared" si="70"/>
        <v>0</v>
      </c>
      <c r="Q406" s="9">
        <f t="shared" si="71"/>
        <v>0</v>
      </c>
      <c r="R406" s="9">
        <f t="shared" si="72"/>
        <v>5000</v>
      </c>
      <c r="S406" s="9" t="str">
        <f t="shared" si="73"/>
        <v>Loss</v>
      </c>
      <c r="T406" s="7" t="str">
        <f t="shared" si="74"/>
        <v>Mar</v>
      </c>
      <c r="U406" s="7">
        <f t="shared" si="75"/>
        <v>2025</v>
      </c>
      <c r="V406" s="7" t="str">
        <f t="shared" si="76"/>
        <v>30-35</v>
      </c>
    </row>
    <row r="407" spans="1:22" x14ac:dyDescent="0.3">
      <c r="A407" s="7" t="s">
        <v>424</v>
      </c>
      <c r="B407" s="8" t="s">
        <v>1428</v>
      </c>
      <c r="C407" s="8">
        <v>35</v>
      </c>
      <c r="D407" s="8" t="s">
        <v>721</v>
      </c>
      <c r="E407" s="8" t="s">
        <v>726</v>
      </c>
      <c r="F407" s="7" t="s">
        <v>731</v>
      </c>
      <c r="G407" s="7" t="s">
        <v>763</v>
      </c>
      <c r="H407" s="7" t="s">
        <v>781</v>
      </c>
      <c r="I407" s="7" t="s">
        <v>773</v>
      </c>
      <c r="J407" s="7">
        <f t="shared" si="66"/>
        <v>4</v>
      </c>
      <c r="K407" s="9">
        <f t="shared" si="67"/>
        <v>18000</v>
      </c>
      <c r="L407" s="7">
        <v>2</v>
      </c>
      <c r="M407" s="9">
        <f t="shared" si="68"/>
        <v>36000</v>
      </c>
      <c r="N407" s="9">
        <f t="shared" si="69"/>
        <v>18000</v>
      </c>
      <c r="O407" s="7" t="s">
        <v>1007</v>
      </c>
      <c r="P407" s="10">
        <f t="shared" si="70"/>
        <v>0</v>
      </c>
      <c r="Q407" s="9">
        <f t="shared" si="71"/>
        <v>0</v>
      </c>
      <c r="R407" s="9">
        <f t="shared" si="72"/>
        <v>5000</v>
      </c>
      <c r="S407" s="9" t="str">
        <f t="shared" si="73"/>
        <v>Loss</v>
      </c>
      <c r="T407" s="7" t="str">
        <f t="shared" si="74"/>
        <v>Feb</v>
      </c>
      <c r="U407" s="7">
        <f t="shared" si="75"/>
        <v>2025</v>
      </c>
      <c r="V407" s="7" t="str">
        <f t="shared" si="76"/>
        <v>35-40</v>
      </c>
    </row>
    <row r="408" spans="1:22" x14ac:dyDescent="0.3">
      <c r="A408" s="7" t="s">
        <v>425</v>
      </c>
      <c r="B408" s="8" t="s">
        <v>1429</v>
      </c>
      <c r="C408" s="8">
        <v>23</v>
      </c>
      <c r="D408" s="8" t="s">
        <v>721</v>
      </c>
      <c r="E408" s="8" t="s">
        <v>726</v>
      </c>
      <c r="F408" s="7" t="s">
        <v>1726</v>
      </c>
      <c r="G408" s="7" t="s">
        <v>888</v>
      </c>
      <c r="H408" s="7" t="s">
        <v>858</v>
      </c>
      <c r="I408" s="7" t="s">
        <v>778</v>
      </c>
      <c r="J408" s="7">
        <f t="shared" si="66"/>
        <v>4</v>
      </c>
      <c r="K408" s="9">
        <f t="shared" si="67"/>
        <v>18000</v>
      </c>
      <c r="L408" s="7">
        <v>4</v>
      </c>
      <c r="M408" s="9">
        <f t="shared" si="68"/>
        <v>72000</v>
      </c>
      <c r="N408" s="9">
        <f t="shared" si="69"/>
        <v>36000</v>
      </c>
      <c r="O408" s="7" t="s">
        <v>1007</v>
      </c>
      <c r="P408" s="10">
        <f t="shared" si="70"/>
        <v>0</v>
      </c>
      <c r="Q408" s="9">
        <f t="shared" si="71"/>
        <v>0</v>
      </c>
      <c r="R408" s="9">
        <f t="shared" si="72"/>
        <v>5000</v>
      </c>
      <c r="S408" s="9" t="str">
        <f t="shared" si="73"/>
        <v>Loss</v>
      </c>
      <c r="T408" s="7" t="str">
        <f t="shared" si="74"/>
        <v>Mar</v>
      </c>
      <c r="U408" s="7">
        <f t="shared" si="75"/>
        <v>2025</v>
      </c>
      <c r="V408" s="7" t="str">
        <f t="shared" si="76"/>
        <v>20-25</v>
      </c>
    </row>
    <row r="409" spans="1:22" x14ac:dyDescent="0.3">
      <c r="A409" s="7" t="s">
        <v>426</v>
      </c>
      <c r="B409" s="8" t="s">
        <v>1430</v>
      </c>
      <c r="C409" s="8">
        <v>55</v>
      </c>
      <c r="D409" s="8" t="s">
        <v>721</v>
      </c>
      <c r="E409" s="8" t="s">
        <v>723</v>
      </c>
      <c r="F409" s="7" t="s">
        <v>733</v>
      </c>
      <c r="G409" s="7" t="s">
        <v>782</v>
      </c>
      <c r="H409" s="7" t="s">
        <v>824</v>
      </c>
      <c r="I409" s="7" t="s">
        <v>783</v>
      </c>
      <c r="J409" s="7">
        <f t="shared" si="66"/>
        <v>7</v>
      </c>
      <c r="K409" s="9">
        <f t="shared" si="67"/>
        <v>70000</v>
      </c>
      <c r="L409" s="7">
        <v>4</v>
      </c>
      <c r="M409" s="9">
        <f t="shared" si="68"/>
        <v>280000</v>
      </c>
      <c r="N409" s="9">
        <f t="shared" si="69"/>
        <v>168000</v>
      </c>
      <c r="O409" s="7" t="s">
        <v>1007</v>
      </c>
      <c r="P409" s="10">
        <f t="shared" si="70"/>
        <v>0</v>
      </c>
      <c r="Q409" s="9">
        <f t="shared" si="71"/>
        <v>0</v>
      </c>
      <c r="R409" s="9">
        <f t="shared" si="72"/>
        <v>5000</v>
      </c>
      <c r="S409" s="9" t="str">
        <f t="shared" si="73"/>
        <v>Loss</v>
      </c>
      <c r="T409" s="7" t="str">
        <f t="shared" si="74"/>
        <v>May</v>
      </c>
      <c r="U409" s="7">
        <f t="shared" si="75"/>
        <v>2025</v>
      </c>
      <c r="V409" s="7" t="str">
        <f t="shared" si="76"/>
        <v>55-60</v>
      </c>
    </row>
    <row r="410" spans="1:22" x14ac:dyDescent="0.3">
      <c r="A410" s="7" t="s">
        <v>427</v>
      </c>
      <c r="B410" s="8" t="s">
        <v>1431</v>
      </c>
      <c r="C410" s="8">
        <v>45</v>
      </c>
      <c r="D410" s="8" t="s">
        <v>720</v>
      </c>
      <c r="E410" s="8" t="s">
        <v>726</v>
      </c>
      <c r="F410" s="7" t="s">
        <v>732</v>
      </c>
      <c r="G410" s="7" t="s">
        <v>923</v>
      </c>
      <c r="H410" s="7" t="s">
        <v>992</v>
      </c>
      <c r="I410" s="7" t="s">
        <v>806</v>
      </c>
      <c r="J410" s="7">
        <f t="shared" si="66"/>
        <v>4</v>
      </c>
      <c r="K410" s="9">
        <f t="shared" si="67"/>
        <v>18000</v>
      </c>
      <c r="L410" s="7">
        <v>4</v>
      </c>
      <c r="M410" s="9">
        <f t="shared" si="68"/>
        <v>72000</v>
      </c>
      <c r="N410" s="9">
        <f t="shared" si="69"/>
        <v>36000</v>
      </c>
      <c r="O410" s="7" t="s">
        <v>1006</v>
      </c>
      <c r="P410" s="10">
        <f t="shared" si="70"/>
        <v>0.05</v>
      </c>
      <c r="Q410" s="9">
        <f t="shared" si="71"/>
        <v>3600</v>
      </c>
      <c r="R410" s="9">
        <f t="shared" si="72"/>
        <v>68400</v>
      </c>
      <c r="S410" s="9" t="str">
        <f t="shared" si="73"/>
        <v>Profit</v>
      </c>
      <c r="T410" s="7" t="str">
        <f t="shared" si="74"/>
        <v>Jan</v>
      </c>
      <c r="U410" s="7">
        <f t="shared" si="75"/>
        <v>2025</v>
      </c>
      <c r="V410" s="7" t="str">
        <f t="shared" si="76"/>
        <v>45-50</v>
      </c>
    </row>
    <row r="411" spans="1:22" x14ac:dyDescent="0.3">
      <c r="A411" s="7" t="s">
        <v>428</v>
      </c>
      <c r="B411" s="8" t="s">
        <v>1432</v>
      </c>
      <c r="C411" s="8">
        <v>46</v>
      </c>
      <c r="D411" s="8" t="s">
        <v>720</v>
      </c>
      <c r="E411" s="8" t="s">
        <v>724</v>
      </c>
      <c r="F411" s="7" t="s">
        <v>729</v>
      </c>
      <c r="G411" s="7" t="s">
        <v>779</v>
      </c>
      <c r="H411" s="7" t="s">
        <v>833</v>
      </c>
      <c r="I411" s="7" t="s">
        <v>829</v>
      </c>
      <c r="J411" s="7">
        <f t="shared" si="66"/>
        <v>10</v>
      </c>
      <c r="K411" s="9">
        <f t="shared" si="67"/>
        <v>120000</v>
      </c>
      <c r="L411" s="7">
        <v>4</v>
      </c>
      <c r="M411" s="9">
        <f t="shared" si="68"/>
        <v>480000</v>
      </c>
      <c r="N411" s="9">
        <f t="shared" si="69"/>
        <v>312000</v>
      </c>
      <c r="O411" s="7" t="s">
        <v>1006</v>
      </c>
      <c r="P411" s="10">
        <f t="shared" si="70"/>
        <v>0.15</v>
      </c>
      <c r="Q411" s="9">
        <f t="shared" si="71"/>
        <v>72000</v>
      </c>
      <c r="R411" s="9">
        <f t="shared" si="72"/>
        <v>408000</v>
      </c>
      <c r="S411" s="9" t="str">
        <f t="shared" si="73"/>
        <v>Profit</v>
      </c>
      <c r="T411" s="7" t="str">
        <f t="shared" si="74"/>
        <v>May</v>
      </c>
      <c r="U411" s="7">
        <f t="shared" si="75"/>
        <v>2025</v>
      </c>
      <c r="V411" s="7" t="str">
        <f t="shared" si="76"/>
        <v>45-50</v>
      </c>
    </row>
    <row r="412" spans="1:22" x14ac:dyDescent="0.3">
      <c r="A412" s="7" t="s">
        <v>429</v>
      </c>
      <c r="B412" s="8" t="s">
        <v>1433</v>
      </c>
      <c r="C412" s="8">
        <v>29</v>
      </c>
      <c r="D412" s="8" t="s">
        <v>721</v>
      </c>
      <c r="E412" s="8" t="s">
        <v>725</v>
      </c>
      <c r="F412" s="7" t="s">
        <v>734</v>
      </c>
      <c r="G412" s="7" t="s">
        <v>818</v>
      </c>
      <c r="H412" s="7" t="s">
        <v>843</v>
      </c>
      <c r="I412" s="7" t="s">
        <v>914</v>
      </c>
      <c r="J412" s="7">
        <f t="shared" si="66"/>
        <v>8</v>
      </c>
      <c r="K412" s="9">
        <f t="shared" si="67"/>
        <v>80000</v>
      </c>
      <c r="L412" s="7">
        <v>2</v>
      </c>
      <c r="M412" s="9">
        <f t="shared" si="68"/>
        <v>160000</v>
      </c>
      <c r="N412" s="9">
        <f t="shared" si="69"/>
        <v>96000</v>
      </c>
      <c r="O412" s="7" t="s">
        <v>1007</v>
      </c>
      <c r="P412" s="10">
        <f t="shared" si="70"/>
        <v>0</v>
      </c>
      <c r="Q412" s="9">
        <f t="shared" si="71"/>
        <v>0</v>
      </c>
      <c r="R412" s="9">
        <f t="shared" si="72"/>
        <v>5000</v>
      </c>
      <c r="S412" s="9" t="str">
        <f t="shared" si="73"/>
        <v>Loss</v>
      </c>
      <c r="T412" s="7" t="str">
        <f t="shared" si="74"/>
        <v>Jun</v>
      </c>
      <c r="U412" s="7">
        <f t="shared" si="75"/>
        <v>2025</v>
      </c>
      <c r="V412" s="7" t="str">
        <f t="shared" si="76"/>
        <v>25-30</v>
      </c>
    </row>
    <row r="413" spans="1:22" x14ac:dyDescent="0.3">
      <c r="A413" s="7" t="s">
        <v>430</v>
      </c>
      <c r="B413" s="8" t="s">
        <v>1434</v>
      </c>
      <c r="C413" s="8">
        <v>49</v>
      </c>
      <c r="D413" s="8" t="s">
        <v>720</v>
      </c>
      <c r="E413" s="8" t="s">
        <v>722</v>
      </c>
      <c r="F413" s="7" t="s">
        <v>730</v>
      </c>
      <c r="G413" s="7" t="s">
        <v>796</v>
      </c>
      <c r="H413" s="7" t="s">
        <v>881</v>
      </c>
      <c r="I413" s="7" t="s">
        <v>954</v>
      </c>
      <c r="J413" s="7">
        <f t="shared" si="66"/>
        <v>5</v>
      </c>
      <c r="K413" s="9">
        <f t="shared" si="67"/>
        <v>60000</v>
      </c>
      <c r="L413" s="7">
        <v>3</v>
      </c>
      <c r="M413" s="9">
        <f t="shared" si="68"/>
        <v>180000</v>
      </c>
      <c r="N413" s="9">
        <f t="shared" si="69"/>
        <v>117000</v>
      </c>
      <c r="O413" s="7" t="s">
        <v>1006</v>
      </c>
      <c r="P413" s="10">
        <f t="shared" si="70"/>
        <v>0.1</v>
      </c>
      <c r="Q413" s="9">
        <f t="shared" si="71"/>
        <v>18000</v>
      </c>
      <c r="R413" s="9">
        <f t="shared" si="72"/>
        <v>162000</v>
      </c>
      <c r="S413" s="9" t="str">
        <f t="shared" si="73"/>
        <v>Profit</v>
      </c>
      <c r="T413" s="7" t="str">
        <f t="shared" si="74"/>
        <v>Jul</v>
      </c>
      <c r="U413" s="7">
        <f t="shared" si="75"/>
        <v>2025</v>
      </c>
      <c r="V413" s="7" t="str">
        <f t="shared" si="76"/>
        <v>45-50</v>
      </c>
    </row>
    <row r="414" spans="1:22" x14ac:dyDescent="0.3">
      <c r="A414" s="7" t="s">
        <v>431</v>
      </c>
      <c r="B414" s="8" t="s">
        <v>1435</v>
      </c>
      <c r="C414" s="8">
        <v>49</v>
      </c>
      <c r="D414" s="8" t="s">
        <v>721</v>
      </c>
      <c r="E414" s="8" t="s">
        <v>723</v>
      </c>
      <c r="F414" s="7" t="s">
        <v>730</v>
      </c>
      <c r="G414" s="7" t="s">
        <v>925</v>
      </c>
      <c r="H414" s="7" t="s">
        <v>759</v>
      </c>
      <c r="I414" s="7" t="s">
        <v>949</v>
      </c>
      <c r="J414" s="7">
        <f t="shared" si="66"/>
        <v>7</v>
      </c>
      <c r="K414" s="9">
        <f t="shared" si="67"/>
        <v>70000</v>
      </c>
      <c r="L414" s="7">
        <v>4</v>
      </c>
      <c r="M414" s="9">
        <f t="shared" si="68"/>
        <v>280000</v>
      </c>
      <c r="N414" s="9">
        <f t="shared" si="69"/>
        <v>168000</v>
      </c>
      <c r="O414" s="7" t="s">
        <v>1006</v>
      </c>
      <c r="P414" s="10">
        <f t="shared" si="70"/>
        <v>7.0000000000000007E-2</v>
      </c>
      <c r="Q414" s="9">
        <f t="shared" si="71"/>
        <v>19600.000000000004</v>
      </c>
      <c r="R414" s="9">
        <f t="shared" si="72"/>
        <v>260400</v>
      </c>
      <c r="S414" s="9" t="str">
        <f t="shared" si="73"/>
        <v>Profit</v>
      </c>
      <c r="T414" s="7" t="str">
        <f t="shared" si="74"/>
        <v>Jun</v>
      </c>
      <c r="U414" s="7">
        <f t="shared" si="75"/>
        <v>2025</v>
      </c>
      <c r="V414" s="7" t="str">
        <f t="shared" si="76"/>
        <v>45-50</v>
      </c>
    </row>
    <row r="415" spans="1:22" x14ac:dyDescent="0.3">
      <c r="A415" s="7" t="s">
        <v>432</v>
      </c>
      <c r="B415" s="8" t="s">
        <v>1436</v>
      </c>
      <c r="C415" s="8">
        <v>26</v>
      </c>
      <c r="D415" s="8" t="s">
        <v>720</v>
      </c>
      <c r="E415" s="8" t="s">
        <v>723</v>
      </c>
      <c r="F415" s="7" t="s">
        <v>733</v>
      </c>
      <c r="G415" s="7" t="s">
        <v>850</v>
      </c>
      <c r="H415" s="7" t="s">
        <v>927</v>
      </c>
      <c r="I415" s="7" t="s">
        <v>945</v>
      </c>
      <c r="J415" s="7">
        <f t="shared" si="66"/>
        <v>7</v>
      </c>
      <c r="K415" s="9">
        <f t="shared" si="67"/>
        <v>70000</v>
      </c>
      <c r="L415" s="7">
        <v>3</v>
      </c>
      <c r="M415" s="9">
        <f t="shared" si="68"/>
        <v>210000</v>
      </c>
      <c r="N415" s="9">
        <f t="shared" si="69"/>
        <v>126000</v>
      </c>
      <c r="O415" s="7" t="s">
        <v>1006</v>
      </c>
      <c r="P415" s="10">
        <f t="shared" si="70"/>
        <v>7.0000000000000007E-2</v>
      </c>
      <c r="Q415" s="9">
        <f t="shared" si="71"/>
        <v>14700.000000000002</v>
      </c>
      <c r="R415" s="9">
        <f t="shared" si="72"/>
        <v>195300</v>
      </c>
      <c r="S415" s="9" t="str">
        <f t="shared" si="73"/>
        <v>Profit</v>
      </c>
      <c r="T415" s="7" t="str">
        <f t="shared" si="74"/>
        <v>May</v>
      </c>
      <c r="U415" s="7">
        <f t="shared" si="75"/>
        <v>2025</v>
      </c>
      <c r="V415" s="7" t="str">
        <f t="shared" si="76"/>
        <v>25-30</v>
      </c>
    </row>
    <row r="416" spans="1:22" x14ac:dyDescent="0.3">
      <c r="A416" s="7" t="s">
        <v>433</v>
      </c>
      <c r="B416" s="8" t="s">
        <v>1437</v>
      </c>
      <c r="C416" s="8">
        <v>29</v>
      </c>
      <c r="D416" s="8" t="s">
        <v>720</v>
      </c>
      <c r="E416" s="8" t="s">
        <v>722</v>
      </c>
      <c r="F416" s="7" t="s">
        <v>727</v>
      </c>
      <c r="G416" s="7" t="s">
        <v>830</v>
      </c>
      <c r="H416" s="7" t="s">
        <v>993</v>
      </c>
      <c r="I416" s="7" t="s">
        <v>1002</v>
      </c>
      <c r="J416" s="7">
        <f t="shared" si="66"/>
        <v>5</v>
      </c>
      <c r="K416" s="9">
        <f t="shared" si="67"/>
        <v>60000</v>
      </c>
      <c r="L416" s="7">
        <v>2</v>
      </c>
      <c r="M416" s="9">
        <f t="shared" si="68"/>
        <v>120000</v>
      </c>
      <c r="N416" s="9">
        <f t="shared" si="69"/>
        <v>78000</v>
      </c>
      <c r="O416" s="7" t="s">
        <v>1007</v>
      </c>
      <c r="P416" s="10">
        <f t="shared" si="70"/>
        <v>0</v>
      </c>
      <c r="Q416" s="9">
        <f t="shared" si="71"/>
        <v>0</v>
      </c>
      <c r="R416" s="9">
        <f t="shared" si="72"/>
        <v>5000</v>
      </c>
      <c r="S416" s="9" t="str">
        <f t="shared" si="73"/>
        <v>Loss</v>
      </c>
      <c r="T416" s="7" t="str">
        <f t="shared" si="74"/>
        <v>Aug</v>
      </c>
      <c r="U416" s="7">
        <f t="shared" si="75"/>
        <v>2025</v>
      </c>
      <c r="V416" s="7" t="str">
        <f t="shared" si="76"/>
        <v>25-30</v>
      </c>
    </row>
    <row r="417" spans="1:22" x14ac:dyDescent="0.3">
      <c r="A417" s="7" t="s">
        <v>434</v>
      </c>
      <c r="B417" s="8" t="s">
        <v>1438</v>
      </c>
      <c r="C417" s="8">
        <v>21</v>
      </c>
      <c r="D417" s="8" t="s">
        <v>721</v>
      </c>
      <c r="E417" s="8" t="s">
        <v>724</v>
      </c>
      <c r="F417" s="7" t="s">
        <v>730</v>
      </c>
      <c r="G417" s="7" t="s">
        <v>779</v>
      </c>
      <c r="H417" s="7" t="s">
        <v>805</v>
      </c>
      <c r="I417" s="7" t="s">
        <v>850</v>
      </c>
      <c r="J417" s="7">
        <f t="shared" si="66"/>
        <v>10</v>
      </c>
      <c r="K417" s="9">
        <f t="shared" si="67"/>
        <v>120000</v>
      </c>
      <c r="L417" s="7">
        <v>4</v>
      </c>
      <c r="M417" s="9">
        <f t="shared" si="68"/>
        <v>480000</v>
      </c>
      <c r="N417" s="9">
        <f t="shared" si="69"/>
        <v>312000</v>
      </c>
      <c r="O417" s="7" t="s">
        <v>1007</v>
      </c>
      <c r="P417" s="10">
        <f t="shared" si="70"/>
        <v>0</v>
      </c>
      <c r="Q417" s="9">
        <f t="shared" si="71"/>
        <v>0</v>
      </c>
      <c r="R417" s="9">
        <f t="shared" si="72"/>
        <v>5000</v>
      </c>
      <c r="S417" s="9" t="str">
        <f t="shared" si="73"/>
        <v>Loss</v>
      </c>
      <c r="T417" s="7" t="str">
        <f t="shared" si="74"/>
        <v>May</v>
      </c>
      <c r="U417" s="7">
        <f t="shared" si="75"/>
        <v>2025</v>
      </c>
      <c r="V417" s="7" t="str">
        <f t="shared" si="76"/>
        <v>20-25</v>
      </c>
    </row>
    <row r="418" spans="1:22" x14ac:dyDescent="0.3">
      <c r="A418" s="7" t="s">
        <v>435</v>
      </c>
      <c r="B418" s="8" t="s">
        <v>1439</v>
      </c>
      <c r="C418" s="8">
        <v>30</v>
      </c>
      <c r="D418" s="8" t="s">
        <v>721</v>
      </c>
      <c r="E418" s="8" t="s">
        <v>726</v>
      </c>
      <c r="F418" s="7" t="s">
        <v>1725</v>
      </c>
      <c r="G418" s="7" t="s">
        <v>926</v>
      </c>
      <c r="H418" s="7" t="s">
        <v>973</v>
      </c>
      <c r="I418" s="7" t="s">
        <v>998</v>
      </c>
      <c r="J418" s="7">
        <f t="shared" si="66"/>
        <v>4</v>
      </c>
      <c r="K418" s="9">
        <f t="shared" si="67"/>
        <v>18000</v>
      </c>
      <c r="L418" s="7">
        <v>4</v>
      </c>
      <c r="M418" s="9">
        <f t="shared" si="68"/>
        <v>72000</v>
      </c>
      <c r="N418" s="9">
        <f t="shared" si="69"/>
        <v>36000</v>
      </c>
      <c r="O418" s="7" t="s">
        <v>1006</v>
      </c>
      <c r="P418" s="10">
        <f t="shared" si="70"/>
        <v>0.05</v>
      </c>
      <c r="Q418" s="9">
        <f t="shared" si="71"/>
        <v>3600</v>
      </c>
      <c r="R418" s="9">
        <f t="shared" si="72"/>
        <v>68400</v>
      </c>
      <c r="S418" s="9" t="str">
        <f t="shared" si="73"/>
        <v>Profit</v>
      </c>
      <c r="T418" s="7" t="str">
        <f t="shared" si="74"/>
        <v>Aug</v>
      </c>
      <c r="U418" s="7">
        <f t="shared" si="75"/>
        <v>2025</v>
      </c>
      <c r="V418" s="7" t="str">
        <f t="shared" si="76"/>
        <v>30-35</v>
      </c>
    </row>
    <row r="419" spans="1:22" x14ac:dyDescent="0.3">
      <c r="A419" s="7" t="s">
        <v>436</v>
      </c>
      <c r="B419" s="8" t="s">
        <v>1440</v>
      </c>
      <c r="C419" s="8">
        <v>27</v>
      </c>
      <c r="D419" s="8" t="s">
        <v>721</v>
      </c>
      <c r="E419" s="8" t="s">
        <v>722</v>
      </c>
      <c r="F419" s="7" t="s">
        <v>1730</v>
      </c>
      <c r="G419" s="7" t="s">
        <v>901</v>
      </c>
      <c r="H419" s="7" t="s">
        <v>976</v>
      </c>
      <c r="I419" s="7" t="s">
        <v>981</v>
      </c>
      <c r="J419" s="7">
        <f t="shared" si="66"/>
        <v>5</v>
      </c>
      <c r="K419" s="9">
        <f t="shared" si="67"/>
        <v>60000</v>
      </c>
      <c r="L419" s="7">
        <v>2</v>
      </c>
      <c r="M419" s="9">
        <f t="shared" si="68"/>
        <v>120000</v>
      </c>
      <c r="N419" s="9">
        <f t="shared" si="69"/>
        <v>78000</v>
      </c>
      <c r="O419" s="7" t="s">
        <v>1007</v>
      </c>
      <c r="P419" s="10">
        <f t="shared" si="70"/>
        <v>0</v>
      </c>
      <c r="Q419" s="9">
        <f t="shared" si="71"/>
        <v>0</v>
      </c>
      <c r="R419" s="9">
        <f t="shared" si="72"/>
        <v>5000</v>
      </c>
      <c r="S419" s="9" t="str">
        <f t="shared" si="73"/>
        <v>Loss</v>
      </c>
      <c r="T419" s="7" t="str">
        <f t="shared" si="74"/>
        <v>Aug</v>
      </c>
      <c r="U419" s="7">
        <f t="shared" si="75"/>
        <v>2025</v>
      </c>
      <c r="V419" s="7" t="str">
        <f t="shared" si="76"/>
        <v>25-30</v>
      </c>
    </row>
    <row r="420" spans="1:22" x14ac:dyDescent="0.3">
      <c r="A420" s="7" t="s">
        <v>437</v>
      </c>
      <c r="B420" s="8" t="s">
        <v>1441</v>
      </c>
      <c r="C420" s="8">
        <v>43</v>
      </c>
      <c r="D420" s="8" t="s">
        <v>721</v>
      </c>
      <c r="E420" s="8" t="s">
        <v>723</v>
      </c>
      <c r="F420" s="7" t="s">
        <v>730</v>
      </c>
      <c r="G420" s="7" t="s">
        <v>927</v>
      </c>
      <c r="H420" s="7" t="s">
        <v>743</v>
      </c>
      <c r="I420" s="7" t="s">
        <v>924</v>
      </c>
      <c r="J420" s="7">
        <f t="shared" si="66"/>
        <v>7</v>
      </c>
      <c r="K420" s="9">
        <f t="shared" si="67"/>
        <v>70000</v>
      </c>
      <c r="L420" s="7">
        <v>4</v>
      </c>
      <c r="M420" s="9">
        <f t="shared" si="68"/>
        <v>280000</v>
      </c>
      <c r="N420" s="9">
        <f t="shared" si="69"/>
        <v>168000</v>
      </c>
      <c r="O420" s="7" t="s">
        <v>1007</v>
      </c>
      <c r="P420" s="10">
        <f t="shared" si="70"/>
        <v>0</v>
      </c>
      <c r="Q420" s="9">
        <f t="shared" si="71"/>
        <v>0</v>
      </c>
      <c r="R420" s="9">
        <f t="shared" si="72"/>
        <v>5000</v>
      </c>
      <c r="S420" s="9" t="str">
        <f t="shared" si="73"/>
        <v>Loss</v>
      </c>
      <c r="T420" s="7" t="str">
        <f t="shared" si="74"/>
        <v>Jun</v>
      </c>
      <c r="U420" s="7">
        <f t="shared" si="75"/>
        <v>2025</v>
      </c>
      <c r="V420" s="7" t="str">
        <f t="shared" si="76"/>
        <v>40-45</v>
      </c>
    </row>
    <row r="421" spans="1:22" x14ac:dyDescent="0.3">
      <c r="A421" s="7" t="s">
        <v>438</v>
      </c>
      <c r="B421" s="8" t="s">
        <v>1442</v>
      </c>
      <c r="C421" s="8">
        <v>49</v>
      </c>
      <c r="D421" s="8" t="s">
        <v>720</v>
      </c>
      <c r="E421" s="8" t="s">
        <v>726</v>
      </c>
      <c r="F421" s="7" t="s">
        <v>728</v>
      </c>
      <c r="G421" s="7" t="s">
        <v>876</v>
      </c>
      <c r="H421" s="7" t="s">
        <v>790</v>
      </c>
      <c r="I421" s="7" t="s">
        <v>972</v>
      </c>
      <c r="J421" s="7">
        <f t="shared" si="66"/>
        <v>4</v>
      </c>
      <c r="K421" s="9">
        <f t="shared" si="67"/>
        <v>18000</v>
      </c>
      <c r="L421" s="7">
        <v>2</v>
      </c>
      <c r="M421" s="9">
        <f t="shared" si="68"/>
        <v>36000</v>
      </c>
      <c r="N421" s="9">
        <f t="shared" si="69"/>
        <v>18000</v>
      </c>
      <c r="O421" s="7" t="s">
        <v>1007</v>
      </c>
      <c r="P421" s="10">
        <f t="shared" si="70"/>
        <v>0</v>
      </c>
      <c r="Q421" s="9">
        <f t="shared" si="71"/>
        <v>0</v>
      </c>
      <c r="R421" s="9">
        <f t="shared" si="72"/>
        <v>5000</v>
      </c>
      <c r="S421" s="9" t="str">
        <f t="shared" si="73"/>
        <v>Loss</v>
      </c>
      <c r="T421" s="7" t="str">
        <f t="shared" si="74"/>
        <v>Jan</v>
      </c>
      <c r="U421" s="7">
        <f t="shared" si="75"/>
        <v>2025</v>
      </c>
      <c r="V421" s="7" t="str">
        <f t="shared" si="76"/>
        <v>45-50</v>
      </c>
    </row>
    <row r="422" spans="1:22" x14ac:dyDescent="0.3">
      <c r="A422" s="7" t="s">
        <v>439</v>
      </c>
      <c r="B422" s="8" t="s">
        <v>1443</v>
      </c>
      <c r="C422" s="8">
        <v>53</v>
      </c>
      <c r="D422" s="8" t="s">
        <v>721</v>
      </c>
      <c r="E422" s="8" t="s">
        <v>726</v>
      </c>
      <c r="F422" s="7" t="s">
        <v>1734</v>
      </c>
      <c r="G422" s="7" t="s">
        <v>906</v>
      </c>
      <c r="H422" s="7" t="s">
        <v>790</v>
      </c>
      <c r="I422" s="7" t="s">
        <v>803</v>
      </c>
      <c r="J422" s="7">
        <f t="shared" si="66"/>
        <v>4</v>
      </c>
      <c r="K422" s="9">
        <f t="shared" si="67"/>
        <v>18000</v>
      </c>
      <c r="L422" s="7">
        <v>4</v>
      </c>
      <c r="M422" s="9">
        <f t="shared" si="68"/>
        <v>72000</v>
      </c>
      <c r="N422" s="9">
        <f t="shared" si="69"/>
        <v>36000</v>
      </c>
      <c r="O422" s="7" t="s">
        <v>1006</v>
      </c>
      <c r="P422" s="10">
        <f t="shared" si="70"/>
        <v>0.05</v>
      </c>
      <c r="Q422" s="9">
        <f t="shared" si="71"/>
        <v>3600</v>
      </c>
      <c r="R422" s="9">
        <f t="shared" si="72"/>
        <v>68400</v>
      </c>
      <c r="S422" s="9" t="str">
        <f t="shared" si="73"/>
        <v>Profit</v>
      </c>
      <c r="T422" s="7" t="str">
        <f t="shared" si="74"/>
        <v>Jan</v>
      </c>
      <c r="U422" s="7">
        <f t="shared" si="75"/>
        <v>2025</v>
      </c>
      <c r="V422" s="7" t="str">
        <f t="shared" si="76"/>
        <v>50-55</v>
      </c>
    </row>
    <row r="423" spans="1:22" x14ac:dyDescent="0.3">
      <c r="A423" s="7" t="s">
        <v>440</v>
      </c>
      <c r="B423" s="8" t="s">
        <v>1444</v>
      </c>
      <c r="C423" s="8">
        <v>27</v>
      </c>
      <c r="D423" s="8" t="s">
        <v>720</v>
      </c>
      <c r="E423" s="8" t="s">
        <v>725</v>
      </c>
      <c r="F423" s="7" t="s">
        <v>729</v>
      </c>
      <c r="G423" s="7" t="s">
        <v>795</v>
      </c>
      <c r="H423" s="7" t="s">
        <v>831</v>
      </c>
      <c r="I423" s="7" t="s">
        <v>861</v>
      </c>
      <c r="J423" s="7">
        <f t="shared" si="66"/>
        <v>8</v>
      </c>
      <c r="K423" s="9">
        <f t="shared" si="67"/>
        <v>80000</v>
      </c>
      <c r="L423" s="7">
        <v>2</v>
      </c>
      <c r="M423" s="9">
        <f t="shared" si="68"/>
        <v>160000</v>
      </c>
      <c r="N423" s="9">
        <f t="shared" si="69"/>
        <v>96000</v>
      </c>
      <c r="O423" s="7" t="s">
        <v>1007</v>
      </c>
      <c r="P423" s="10">
        <f t="shared" si="70"/>
        <v>0</v>
      </c>
      <c r="Q423" s="9">
        <f t="shared" si="71"/>
        <v>0</v>
      </c>
      <c r="R423" s="9">
        <f t="shared" si="72"/>
        <v>5000</v>
      </c>
      <c r="S423" s="9" t="str">
        <f t="shared" si="73"/>
        <v>Loss</v>
      </c>
      <c r="T423" s="7" t="str">
        <f t="shared" si="74"/>
        <v>Jan</v>
      </c>
      <c r="U423" s="7">
        <f t="shared" si="75"/>
        <v>2025</v>
      </c>
      <c r="V423" s="7" t="str">
        <f t="shared" si="76"/>
        <v>25-30</v>
      </c>
    </row>
    <row r="424" spans="1:22" x14ac:dyDescent="0.3">
      <c r="A424" s="7" t="s">
        <v>441</v>
      </c>
      <c r="B424" s="8" t="s">
        <v>1445</v>
      </c>
      <c r="C424" s="8">
        <v>24</v>
      </c>
      <c r="D424" s="8" t="s">
        <v>720</v>
      </c>
      <c r="E424" s="8" t="s">
        <v>725</v>
      </c>
      <c r="F424" s="7" t="s">
        <v>728</v>
      </c>
      <c r="G424" s="7" t="s">
        <v>837</v>
      </c>
      <c r="H424" s="7" t="s">
        <v>851</v>
      </c>
      <c r="I424" s="7" t="s">
        <v>773</v>
      </c>
      <c r="J424" s="7">
        <f t="shared" si="66"/>
        <v>8</v>
      </c>
      <c r="K424" s="9">
        <f t="shared" si="67"/>
        <v>80000</v>
      </c>
      <c r="L424" s="7">
        <v>2</v>
      </c>
      <c r="M424" s="9">
        <f t="shared" si="68"/>
        <v>160000</v>
      </c>
      <c r="N424" s="9">
        <f t="shared" si="69"/>
        <v>96000</v>
      </c>
      <c r="O424" s="7" t="s">
        <v>1006</v>
      </c>
      <c r="P424" s="10">
        <f t="shared" si="70"/>
        <v>0.12</v>
      </c>
      <c r="Q424" s="9">
        <f t="shared" si="71"/>
        <v>19200</v>
      </c>
      <c r="R424" s="9">
        <f t="shared" si="72"/>
        <v>140800</v>
      </c>
      <c r="S424" s="9" t="str">
        <f t="shared" si="73"/>
        <v>Profit</v>
      </c>
      <c r="T424" s="7" t="str">
        <f t="shared" si="74"/>
        <v>Jan</v>
      </c>
      <c r="U424" s="7">
        <f t="shared" si="75"/>
        <v>2025</v>
      </c>
      <c r="V424" s="7" t="str">
        <f t="shared" si="76"/>
        <v>20-25</v>
      </c>
    </row>
    <row r="425" spans="1:22" x14ac:dyDescent="0.3">
      <c r="A425" s="7" t="s">
        <v>442</v>
      </c>
      <c r="B425" s="8" t="s">
        <v>1446</v>
      </c>
      <c r="C425" s="8">
        <v>56</v>
      </c>
      <c r="D425" s="8" t="s">
        <v>720</v>
      </c>
      <c r="E425" s="8" t="s">
        <v>726</v>
      </c>
      <c r="F425" s="7" t="s">
        <v>1733</v>
      </c>
      <c r="G425" s="7" t="s">
        <v>859</v>
      </c>
      <c r="H425" s="7" t="s">
        <v>832</v>
      </c>
      <c r="I425" s="7" t="s">
        <v>769</v>
      </c>
      <c r="J425" s="7">
        <f t="shared" si="66"/>
        <v>4</v>
      </c>
      <c r="K425" s="9">
        <f t="shared" si="67"/>
        <v>18000</v>
      </c>
      <c r="L425" s="7">
        <v>3</v>
      </c>
      <c r="M425" s="9">
        <f t="shared" si="68"/>
        <v>54000</v>
      </c>
      <c r="N425" s="9">
        <f t="shared" si="69"/>
        <v>27000</v>
      </c>
      <c r="O425" s="7" t="s">
        <v>1006</v>
      </c>
      <c r="P425" s="10">
        <f t="shared" si="70"/>
        <v>0.05</v>
      </c>
      <c r="Q425" s="9">
        <f t="shared" si="71"/>
        <v>2700</v>
      </c>
      <c r="R425" s="9">
        <f t="shared" si="72"/>
        <v>51300</v>
      </c>
      <c r="S425" s="9" t="str">
        <f t="shared" si="73"/>
        <v>Profit</v>
      </c>
      <c r="T425" s="7" t="str">
        <f t="shared" si="74"/>
        <v>Jan</v>
      </c>
      <c r="U425" s="7">
        <f t="shared" si="75"/>
        <v>2025</v>
      </c>
      <c r="V425" s="7" t="str">
        <f t="shared" si="76"/>
        <v>55-60</v>
      </c>
    </row>
    <row r="426" spans="1:22" x14ac:dyDescent="0.3">
      <c r="A426" s="7" t="s">
        <v>443</v>
      </c>
      <c r="B426" s="8" t="s">
        <v>1447</v>
      </c>
      <c r="C426" s="8">
        <v>50</v>
      </c>
      <c r="D426" s="8" t="s">
        <v>721</v>
      </c>
      <c r="E426" s="8" t="s">
        <v>726</v>
      </c>
      <c r="F426" s="14" t="s">
        <v>1734</v>
      </c>
      <c r="G426" s="7" t="s">
        <v>831</v>
      </c>
      <c r="H426" s="7" t="s">
        <v>882</v>
      </c>
      <c r="I426" s="7" t="s">
        <v>798</v>
      </c>
      <c r="J426" s="7">
        <f t="shared" si="66"/>
        <v>4</v>
      </c>
      <c r="K426" s="9">
        <f t="shared" si="67"/>
        <v>18000</v>
      </c>
      <c r="L426" s="7">
        <v>2</v>
      </c>
      <c r="M426" s="9">
        <f t="shared" si="68"/>
        <v>36000</v>
      </c>
      <c r="N426" s="9">
        <f t="shared" si="69"/>
        <v>18000</v>
      </c>
      <c r="O426" s="7" t="s">
        <v>1007</v>
      </c>
      <c r="P426" s="10">
        <f t="shared" si="70"/>
        <v>0</v>
      </c>
      <c r="Q426" s="9">
        <f t="shared" si="71"/>
        <v>0</v>
      </c>
      <c r="R426" s="9">
        <f t="shared" si="72"/>
        <v>5000</v>
      </c>
      <c r="S426" s="9" t="str">
        <f t="shared" si="73"/>
        <v>Loss</v>
      </c>
      <c r="T426" s="7" t="str">
        <f t="shared" si="74"/>
        <v>Feb</v>
      </c>
      <c r="U426" s="7">
        <f t="shared" si="75"/>
        <v>2025</v>
      </c>
      <c r="V426" s="7" t="str">
        <f t="shared" si="76"/>
        <v>50-55</v>
      </c>
    </row>
    <row r="427" spans="1:22" x14ac:dyDescent="0.3">
      <c r="A427" s="7" t="s">
        <v>444</v>
      </c>
      <c r="B427" s="8" t="s">
        <v>1448</v>
      </c>
      <c r="C427" s="8">
        <v>18</v>
      </c>
      <c r="D427" s="8" t="s">
        <v>720</v>
      </c>
      <c r="E427" s="8" t="s">
        <v>723</v>
      </c>
      <c r="F427" s="7" t="s">
        <v>727</v>
      </c>
      <c r="G427" s="7" t="s">
        <v>877</v>
      </c>
      <c r="H427" s="7" t="s">
        <v>892</v>
      </c>
      <c r="I427" s="7" t="s">
        <v>867</v>
      </c>
      <c r="J427" s="7">
        <f t="shared" si="66"/>
        <v>7</v>
      </c>
      <c r="K427" s="9">
        <f t="shared" si="67"/>
        <v>70000</v>
      </c>
      <c r="L427" s="7">
        <v>4</v>
      </c>
      <c r="M427" s="9">
        <f t="shared" si="68"/>
        <v>280000</v>
      </c>
      <c r="N427" s="9">
        <f t="shared" si="69"/>
        <v>168000</v>
      </c>
      <c r="O427" s="7" t="s">
        <v>1007</v>
      </c>
      <c r="P427" s="10">
        <f t="shared" si="70"/>
        <v>0</v>
      </c>
      <c r="Q427" s="9">
        <f t="shared" si="71"/>
        <v>0</v>
      </c>
      <c r="R427" s="9">
        <f t="shared" si="72"/>
        <v>5000</v>
      </c>
      <c r="S427" s="9" t="str">
        <f t="shared" si="73"/>
        <v>Loss</v>
      </c>
      <c r="T427" s="7" t="str">
        <f t="shared" si="74"/>
        <v>Mar</v>
      </c>
      <c r="U427" s="7">
        <f t="shared" si="75"/>
        <v>2025</v>
      </c>
      <c r="V427" s="7" t="str">
        <f t="shared" si="76"/>
        <v>15-20</v>
      </c>
    </row>
    <row r="428" spans="1:22" x14ac:dyDescent="0.3">
      <c r="A428" s="7" t="s">
        <v>445</v>
      </c>
      <c r="B428" s="8" t="s">
        <v>1449</v>
      </c>
      <c r="C428" s="8">
        <v>35</v>
      </c>
      <c r="D428" s="8" t="s">
        <v>721</v>
      </c>
      <c r="E428" s="8" t="s">
        <v>722</v>
      </c>
      <c r="F428" s="7" t="s">
        <v>731</v>
      </c>
      <c r="G428" s="7" t="s">
        <v>928</v>
      </c>
      <c r="H428" s="7" t="s">
        <v>755</v>
      </c>
      <c r="I428" s="7" t="s">
        <v>890</v>
      </c>
      <c r="J428" s="7">
        <f t="shared" si="66"/>
        <v>5</v>
      </c>
      <c r="K428" s="9">
        <f t="shared" si="67"/>
        <v>60000</v>
      </c>
      <c r="L428" s="7">
        <v>3</v>
      </c>
      <c r="M428" s="9">
        <f t="shared" si="68"/>
        <v>180000</v>
      </c>
      <c r="N428" s="9">
        <f t="shared" si="69"/>
        <v>117000</v>
      </c>
      <c r="O428" s="7" t="s">
        <v>1006</v>
      </c>
      <c r="P428" s="10">
        <f t="shared" si="70"/>
        <v>0.1</v>
      </c>
      <c r="Q428" s="9">
        <f t="shared" si="71"/>
        <v>18000</v>
      </c>
      <c r="R428" s="9">
        <f t="shared" si="72"/>
        <v>162000</v>
      </c>
      <c r="S428" s="9" t="str">
        <f t="shared" si="73"/>
        <v>Profit</v>
      </c>
      <c r="T428" s="7" t="str">
        <f t="shared" si="74"/>
        <v>Apr</v>
      </c>
      <c r="U428" s="7">
        <f t="shared" si="75"/>
        <v>2025</v>
      </c>
      <c r="V428" s="7" t="str">
        <f t="shared" si="76"/>
        <v>35-40</v>
      </c>
    </row>
    <row r="429" spans="1:22" x14ac:dyDescent="0.3">
      <c r="A429" s="7" t="s">
        <v>446</v>
      </c>
      <c r="B429" s="8" t="s">
        <v>1450</v>
      </c>
      <c r="C429" s="8">
        <v>46</v>
      </c>
      <c r="D429" s="8" t="s">
        <v>720</v>
      </c>
      <c r="E429" s="8" t="s">
        <v>724</v>
      </c>
      <c r="F429" s="7" t="s">
        <v>730</v>
      </c>
      <c r="G429" s="7" t="s">
        <v>863</v>
      </c>
      <c r="H429" s="7" t="s">
        <v>756</v>
      </c>
      <c r="I429" s="7" t="s">
        <v>867</v>
      </c>
      <c r="J429" s="7">
        <f t="shared" si="66"/>
        <v>10</v>
      </c>
      <c r="K429" s="9">
        <f t="shared" si="67"/>
        <v>120000</v>
      </c>
      <c r="L429" s="7">
        <v>1</v>
      </c>
      <c r="M429" s="9">
        <f t="shared" si="68"/>
        <v>120000</v>
      </c>
      <c r="N429" s="9">
        <f t="shared" si="69"/>
        <v>78000</v>
      </c>
      <c r="O429" s="7" t="s">
        <v>1006</v>
      </c>
      <c r="P429" s="10">
        <f t="shared" si="70"/>
        <v>0.15</v>
      </c>
      <c r="Q429" s="9">
        <f t="shared" si="71"/>
        <v>18000</v>
      </c>
      <c r="R429" s="9">
        <f t="shared" si="72"/>
        <v>102000</v>
      </c>
      <c r="S429" s="9" t="str">
        <f t="shared" si="73"/>
        <v>Profit</v>
      </c>
      <c r="T429" s="7" t="str">
        <f t="shared" si="74"/>
        <v>Feb</v>
      </c>
      <c r="U429" s="7">
        <f t="shared" si="75"/>
        <v>2025</v>
      </c>
      <c r="V429" s="7" t="str">
        <f t="shared" si="76"/>
        <v>45-50</v>
      </c>
    </row>
    <row r="430" spans="1:22" x14ac:dyDescent="0.3">
      <c r="A430" s="7" t="s">
        <v>447</v>
      </c>
      <c r="B430" s="8" t="s">
        <v>1451</v>
      </c>
      <c r="C430" s="8">
        <v>46</v>
      </c>
      <c r="D430" s="8" t="s">
        <v>720</v>
      </c>
      <c r="E430" s="8" t="s">
        <v>724</v>
      </c>
      <c r="F430" s="7" t="s">
        <v>735</v>
      </c>
      <c r="G430" s="7" t="s">
        <v>786</v>
      </c>
      <c r="H430" s="7" t="s">
        <v>736</v>
      </c>
      <c r="I430" s="7" t="s">
        <v>959</v>
      </c>
      <c r="J430" s="7">
        <f t="shared" si="66"/>
        <v>10</v>
      </c>
      <c r="K430" s="9">
        <f t="shared" si="67"/>
        <v>120000</v>
      </c>
      <c r="L430" s="7">
        <v>1</v>
      </c>
      <c r="M430" s="9">
        <f t="shared" si="68"/>
        <v>120000</v>
      </c>
      <c r="N430" s="9">
        <f t="shared" si="69"/>
        <v>78000</v>
      </c>
      <c r="O430" s="7" t="s">
        <v>1007</v>
      </c>
      <c r="P430" s="10">
        <f t="shared" si="70"/>
        <v>0</v>
      </c>
      <c r="Q430" s="9">
        <f t="shared" si="71"/>
        <v>0</v>
      </c>
      <c r="R430" s="9">
        <f t="shared" si="72"/>
        <v>5000</v>
      </c>
      <c r="S430" s="9" t="str">
        <f t="shared" si="73"/>
        <v>Loss</v>
      </c>
      <c r="T430" s="7" t="str">
        <f t="shared" si="74"/>
        <v>Jun</v>
      </c>
      <c r="U430" s="7">
        <f t="shared" si="75"/>
        <v>2025</v>
      </c>
      <c r="V430" s="7" t="str">
        <f t="shared" si="76"/>
        <v>45-50</v>
      </c>
    </row>
    <row r="431" spans="1:22" x14ac:dyDescent="0.3">
      <c r="A431" s="7" t="s">
        <v>448</v>
      </c>
      <c r="B431" s="8" t="s">
        <v>1452</v>
      </c>
      <c r="C431" s="8">
        <v>22</v>
      </c>
      <c r="D431" s="8" t="s">
        <v>721</v>
      </c>
      <c r="E431" s="8" t="s">
        <v>722</v>
      </c>
      <c r="F431" s="7" t="s">
        <v>731</v>
      </c>
      <c r="G431" s="7" t="s">
        <v>929</v>
      </c>
      <c r="H431" s="7" t="s">
        <v>976</v>
      </c>
      <c r="I431" s="7" t="s">
        <v>991</v>
      </c>
      <c r="J431" s="7">
        <f t="shared" si="66"/>
        <v>5</v>
      </c>
      <c r="K431" s="9">
        <f t="shared" si="67"/>
        <v>60000</v>
      </c>
      <c r="L431" s="7">
        <v>3</v>
      </c>
      <c r="M431" s="9">
        <f t="shared" si="68"/>
        <v>180000</v>
      </c>
      <c r="N431" s="9">
        <f t="shared" si="69"/>
        <v>117000</v>
      </c>
      <c r="O431" s="7" t="s">
        <v>1006</v>
      </c>
      <c r="P431" s="10">
        <f t="shared" si="70"/>
        <v>0.1</v>
      </c>
      <c r="Q431" s="9">
        <f t="shared" si="71"/>
        <v>18000</v>
      </c>
      <c r="R431" s="9">
        <f t="shared" si="72"/>
        <v>162000</v>
      </c>
      <c r="S431" s="9" t="str">
        <f t="shared" si="73"/>
        <v>Profit</v>
      </c>
      <c r="T431" s="7" t="str">
        <f t="shared" si="74"/>
        <v>Aug</v>
      </c>
      <c r="U431" s="7">
        <f t="shared" si="75"/>
        <v>2025</v>
      </c>
      <c r="V431" s="7" t="str">
        <f t="shared" si="76"/>
        <v>20-25</v>
      </c>
    </row>
    <row r="432" spans="1:22" x14ac:dyDescent="0.3">
      <c r="A432" s="7" t="s">
        <v>449</v>
      </c>
      <c r="B432" s="8" t="s">
        <v>1453</v>
      </c>
      <c r="C432" s="8">
        <v>53</v>
      </c>
      <c r="D432" s="8" t="s">
        <v>721</v>
      </c>
      <c r="E432" s="8" t="s">
        <v>723</v>
      </c>
      <c r="F432" s="7" t="s">
        <v>1730</v>
      </c>
      <c r="G432" s="7" t="s">
        <v>796</v>
      </c>
      <c r="H432" s="7" t="s">
        <v>836</v>
      </c>
      <c r="I432" s="7" t="s">
        <v>996</v>
      </c>
      <c r="J432" s="7">
        <f t="shared" si="66"/>
        <v>7</v>
      </c>
      <c r="K432" s="9">
        <f t="shared" si="67"/>
        <v>70000</v>
      </c>
      <c r="L432" s="7">
        <v>2</v>
      </c>
      <c r="M432" s="9">
        <f t="shared" si="68"/>
        <v>140000</v>
      </c>
      <c r="N432" s="9">
        <f t="shared" si="69"/>
        <v>84000</v>
      </c>
      <c r="O432" s="7" t="s">
        <v>1007</v>
      </c>
      <c r="P432" s="10">
        <f t="shared" si="70"/>
        <v>0</v>
      </c>
      <c r="Q432" s="9">
        <f t="shared" si="71"/>
        <v>0</v>
      </c>
      <c r="R432" s="9">
        <f t="shared" si="72"/>
        <v>5000</v>
      </c>
      <c r="S432" s="9" t="str">
        <f t="shared" si="73"/>
        <v>Loss</v>
      </c>
      <c r="T432" s="7" t="str">
        <f t="shared" si="74"/>
        <v>Jul</v>
      </c>
      <c r="U432" s="7">
        <f t="shared" si="75"/>
        <v>2025</v>
      </c>
      <c r="V432" s="7" t="str">
        <f t="shared" si="76"/>
        <v>50-55</v>
      </c>
    </row>
    <row r="433" spans="1:22" x14ac:dyDescent="0.3">
      <c r="A433" s="7" t="s">
        <v>450</v>
      </c>
      <c r="B433" s="8" t="s">
        <v>1454</v>
      </c>
      <c r="C433" s="8">
        <v>24</v>
      </c>
      <c r="D433" s="8" t="s">
        <v>721</v>
      </c>
      <c r="E433" s="8" t="s">
        <v>724</v>
      </c>
      <c r="F433" s="7" t="s">
        <v>1735</v>
      </c>
      <c r="G433" s="7" t="s">
        <v>900</v>
      </c>
      <c r="H433" s="7" t="s">
        <v>971</v>
      </c>
      <c r="I433" s="7" t="s">
        <v>993</v>
      </c>
      <c r="J433" s="7">
        <f t="shared" si="66"/>
        <v>10</v>
      </c>
      <c r="K433" s="9">
        <f t="shared" si="67"/>
        <v>120000</v>
      </c>
      <c r="L433" s="7">
        <v>3</v>
      </c>
      <c r="M433" s="9">
        <f t="shared" si="68"/>
        <v>360000</v>
      </c>
      <c r="N433" s="9">
        <f t="shared" si="69"/>
        <v>234000</v>
      </c>
      <c r="O433" s="7" t="s">
        <v>1007</v>
      </c>
      <c r="P433" s="10">
        <f t="shared" si="70"/>
        <v>0</v>
      </c>
      <c r="Q433" s="9">
        <f t="shared" si="71"/>
        <v>0</v>
      </c>
      <c r="R433" s="9">
        <f t="shared" si="72"/>
        <v>5000</v>
      </c>
      <c r="S433" s="9" t="str">
        <f t="shared" si="73"/>
        <v>Loss</v>
      </c>
      <c r="T433" s="7" t="str">
        <f t="shared" si="74"/>
        <v>Aug</v>
      </c>
      <c r="U433" s="7">
        <f t="shared" si="75"/>
        <v>2025</v>
      </c>
      <c r="V433" s="7" t="str">
        <f t="shared" si="76"/>
        <v>20-25</v>
      </c>
    </row>
    <row r="434" spans="1:22" x14ac:dyDescent="0.3">
      <c r="A434" s="7" t="s">
        <v>451</v>
      </c>
      <c r="B434" s="8" t="s">
        <v>1455</v>
      </c>
      <c r="C434" s="8">
        <v>39</v>
      </c>
      <c r="D434" s="8" t="s">
        <v>721</v>
      </c>
      <c r="E434" s="8" t="s">
        <v>724</v>
      </c>
      <c r="F434" s="7" t="s">
        <v>727</v>
      </c>
      <c r="G434" s="7" t="s">
        <v>740</v>
      </c>
      <c r="H434" s="7" t="s">
        <v>766</v>
      </c>
      <c r="I434" s="7" t="s">
        <v>958</v>
      </c>
      <c r="J434" s="7">
        <f t="shared" si="66"/>
        <v>10</v>
      </c>
      <c r="K434" s="9">
        <f t="shared" si="67"/>
        <v>120000</v>
      </c>
      <c r="L434" s="7">
        <v>1</v>
      </c>
      <c r="M434" s="9">
        <f t="shared" si="68"/>
        <v>120000</v>
      </c>
      <c r="N434" s="9">
        <f t="shared" si="69"/>
        <v>78000</v>
      </c>
      <c r="O434" s="7" t="s">
        <v>1007</v>
      </c>
      <c r="P434" s="10">
        <f t="shared" si="70"/>
        <v>0</v>
      </c>
      <c r="Q434" s="9">
        <f t="shared" si="71"/>
        <v>0</v>
      </c>
      <c r="R434" s="9">
        <f t="shared" si="72"/>
        <v>5000</v>
      </c>
      <c r="S434" s="9" t="str">
        <f t="shared" si="73"/>
        <v>Loss</v>
      </c>
      <c r="T434" s="7" t="str">
        <f t="shared" si="74"/>
        <v>Apr</v>
      </c>
      <c r="U434" s="7">
        <f t="shared" si="75"/>
        <v>2025</v>
      </c>
      <c r="V434" s="7" t="str">
        <f t="shared" si="76"/>
        <v>35-40</v>
      </c>
    </row>
    <row r="435" spans="1:22" x14ac:dyDescent="0.3">
      <c r="A435" s="7" t="s">
        <v>452</v>
      </c>
      <c r="B435" s="8" t="s">
        <v>1456</v>
      </c>
      <c r="C435" s="8">
        <v>29</v>
      </c>
      <c r="D435" s="8" t="s">
        <v>721</v>
      </c>
      <c r="E435" s="8" t="s">
        <v>725</v>
      </c>
      <c r="F435" s="7" t="s">
        <v>731</v>
      </c>
      <c r="G435" s="7" t="s">
        <v>828</v>
      </c>
      <c r="H435" s="7" t="s">
        <v>882</v>
      </c>
      <c r="I435" s="7" t="s">
        <v>863</v>
      </c>
      <c r="J435" s="7">
        <f t="shared" si="66"/>
        <v>8</v>
      </c>
      <c r="K435" s="9">
        <f t="shared" si="67"/>
        <v>80000</v>
      </c>
      <c r="L435" s="7">
        <v>2</v>
      </c>
      <c r="M435" s="9">
        <f t="shared" si="68"/>
        <v>160000</v>
      </c>
      <c r="N435" s="9">
        <f t="shared" si="69"/>
        <v>96000</v>
      </c>
      <c r="O435" s="7" t="s">
        <v>1006</v>
      </c>
      <c r="P435" s="10">
        <f t="shared" si="70"/>
        <v>0.12</v>
      </c>
      <c r="Q435" s="9">
        <f t="shared" si="71"/>
        <v>19200</v>
      </c>
      <c r="R435" s="9">
        <f t="shared" si="72"/>
        <v>140800</v>
      </c>
      <c r="S435" s="9" t="str">
        <f t="shared" si="73"/>
        <v>Profit</v>
      </c>
      <c r="T435" s="7" t="str">
        <f t="shared" si="74"/>
        <v>Feb</v>
      </c>
      <c r="U435" s="7">
        <f t="shared" si="75"/>
        <v>2025</v>
      </c>
      <c r="V435" s="7" t="str">
        <f t="shared" si="76"/>
        <v>25-30</v>
      </c>
    </row>
    <row r="436" spans="1:22" x14ac:dyDescent="0.3">
      <c r="A436" s="7" t="s">
        <v>453</v>
      </c>
      <c r="B436" s="8" t="s">
        <v>1457</v>
      </c>
      <c r="C436" s="8">
        <v>49</v>
      </c>
      <c r="D436" s="8" t="s">
        <v>721</v>
      </c>
      <c r="E436" s="8" t="s">
        <v>726</v>
      </c>
      <c r="F436" s="7" t="s">
        <v>731</v>
      </c>
      <c r="G436" s="7" t="s">
        <v>894</v>
      </c>
      <c r="H436" s="7" t="s">
        <v>868</v>
      </c>
      <c r="I436" s="7" t="s">
        <v>908</v>
      </c>
      <c r="J436" s="7">
        <f t="shared" si="66"/>
        <v>4</v>
      </c>
      <c r="K436" s="9">
        <f t="shared" si="67"/>
        <v>18000</v>
      </c>
      <c r="L436" s="7">
        <v>2</v>
      </c>
      <c r="M436" s="9">
        <f t="shared" si="68"/>
        <v>36000</v>
      </c>
      <c r="N436" s="9">
        <f t="shared" si="69"/>
        <v>18000</v>
      </c>
      <c r="O436" s="7" t="s">
        <v>1007</v>
      </c>
      <c r="P436" s="10">
        <f t="shared" si="70"/>
        <v>0</v>
      </c>
      <c r="Q436" s="9">
        <f t="shared" si="71"/>
        <v>0</v>
      </c>
      <c r="R436" s="9">
        <f t="shared" si="72"/>
        <v>5000</v>
      </c>
      <c r="S436" s="9" t="str">
        <f t="shared" si="73"/>
        <v>Loss</v>
      </c>
      <c r="T436" s="7" t="str">
        <f t="shared" si="74"/>
        <v>Mar</v>
      </c>
      <c r="U436" s="7">
        <f t="shared" si="75"/>
        <v>2025</v>
      </c>
      <c r="V436" s="7" t="str">
        <f t="shared" si="76"/>
        <v>45-50</v>
      </c>
    </row>
    <row r="437" spans="1:22" x14ac:dyDescent="0.3">
      <c r="A437" s="7" t="s">
        <v>454</v>
      </c>
      <c r="B437" s="8" t="s">
        <v>1458</v>
      </c>
      <c r="C437" s="8">
        <v>54</v>
      </c>
      <c r="D437" s="8" t="s">
        <v>720</v>
      </c>
      <c r="E437" s="8" t="s">
        <v>724</v>
      </c>
      <c r="F437" s="7" t="s">
        <v>1736</v>
      </c>
      <c r="G437" s="11">
        <v>45848</v>
      </c>
      <c r="H437" s="7" t="s">
        <v>838</v>
      </c>
      <c r="I437" s="7" t="s">
        <v>875</v>
      </c>
      <c r="J437" s="7">
        <f t="shared" si="66"/>
        <v>10</v>
      </c>
      <c r="K437" s="9">
        <f t="shared" si="67"/>
        <v>120000</v>
      </c>
      <c r="L437" s="7">
        <v>3</v>
      </c>
      <c r="M437" s="9">
        <f t="shared" si="68"/>
        <v>360000</v>
      </c>
      <c r="N437" s="9">
        <f t="shared" si="69"/>
        <v>234000</v>
      </c>
      <c r="O437" s="7" t="s">
        <v>1006</v>
      </c>
      <c r="P437" s="10">
        <f t="shared" si="70"/>
        <v>0.15</v>
      </c>
      <c r="Q437" s="9">
        <f t="shared" si="71"/>
        <v>54000</v>
      </c>
      <c r="R437" s="9">
        <f t="shared" si="72"/>
        <v>306000</v>
      </c>
      <c r="S437" s="9" t="str">
        <f t="shared" si="73"/>
        <v>Profit</v>
      </c>
      <c r="T437" s="7" t="str">
        <f t="shared" si="74"/>
        <v>Jul</v>
      </c>
      <c r="U437" s="7">
        <f t="shared" si="75"/>
        <v>2025</v>
      </c>
      <c r="V437" s="7" t="str">
        <f t="shared" si="76"/>
        <v>50-55</v>
      </c>
    </row>
    <row r="438" spans="1:22" x14ac:dyDescent="0.3">
      <c r="A438" s="7" t="s">
        <v>455</v>
      </c>
      <c r="B438" s="8" t="s">
        <v>1459</v>
      </c>
      <c r="C438" s="8">
        <v>55</v>
      </c>
      <c r="D438" s="8" t="s">
        <v>721</v>
      </c>
      <c r="E438" s="8" t="s">
        <v>724</v>
      </c>
      <c r="F438" s="7" t="s">
        <v>729</v>
      </c>
      <c r="G438" s="7" t="s">
        <v>767</v>
      </c>
      <c r="H438" s="7" t="s">
        <v>766</v>
      </c>
      <c r="I438" s="7" t="s">
        <v>742</v>
      </c>
      <c r="J438" s="7">
        <f t="shared" si="66"/>
        <v>10</v>
      </c>
      <c r="K438" s="9">
        <f t="shared" si="67"/>
        <v>120000</v>
      </c>
      <c r="L438" s="7">
        <v>1</v>
      </c>
      <c r="M438" s="9">
        <f t="shared" si="68"/>
        <v>120000</v>
      </c>
      <c r="N438" s="9">
        <f t="shared" si="69"/>
        <v>78000</v>
      </c>
      <c r="O438" s="7" t="s">
        <v>1007</v>
      </c>
      <c r="P438" s="10">
        <f t="shared" si="70"/>
        <v>0</v>
      </c>
      <c r="Q438" s="9">
        <f t="shared" si="71"/>
        <v>0</v>
      </c>
      <c r="R438" s="9">
        <f t="shared" si="72"/>
        <v>5000</v>
      </c>
      <c r="S438" s="9" t="str">
        <f t="shared" si="73"/>
        <v>Loss</v>
      </c>
      <c r="T438" s="7" t="str">
        <f t="shared" si="74"/>
        <v>Apr</v>
      </c>
      <c r="U438" s="7">
        <f t="shared" si="75"/>
        <v>2025</v>
      </c>
      <c r="V438" s="7" t="str">
        <f t="shared" si="76"/>
        <v>55-60</v>
      </c>
    </row>
    <row r="439" spans="1:22" x14ac:dyDescent="0.3">
      <c r="A439" s="7" t="s">
        <v>456</v>
      </c>
      <c r="B439" s="8" t="s">
        <v>1460</v>
      </c>
      <c r="C439" s="8">
        <v>38</v>
      </c>
      <c r="D439" s="8" t="s">
        <v>721</v>
      </c>
      <c r="E439" s="8" t="s">
        <v>724</v>
      </c>
      <c r="F439" s="7" t="s">
        <v>734</v>
      </c>
      <c r="G439" s="7" t="s">
        <v>749</v>
      </c>
      <c r="H439" s="7" t="s">
        <v>755</v>
      </c>
      <c r="I439" s="7" t="s">
        <v>775</v>
      </c>
      <c r="J439" s="7">
        <f t="shared" si="66"/>
        <v>10</v>
      </c>
      <c r="K439" s="9">
        <f t="shared" si="67"/>
        <v>120000</v>
      </c>
      <c r="L439" s="7">
        <v>4</v>
      </c>
      <c r="M439" s="9">
        <f t="shared" si="68"/>
        <v>480000</v>
      </c>
      <c r="N439" s="9">
        <f t="shared" si="69"/>
        <v>312000</v>
      </c>
      <c r="O439" s="7" t="s">
        <v>1007</v>
      </c>
      <c r="P439" s="10">
        <f t="shared" si="70"/>
        <v>0</v>
      </c>
      <c r="Q439" s="9">
        <f t="shared" si="71"/>
        <v>0</v>
      </c>
      <c r="R439" s="9">
        <f t="shared" si="72"/>
        <v>5000</v>
      </c>
      <c r="S439" s="9" t="str">
        <f t="shared" si="73"/>
        <v>Loss</v>
      </c>
      <c r="T439" s="7" t="str">
        <f t="shared" si="74"/>
        <v>Apr</v>
      </c>
      <c r="U439" s="7">
        <f t="shared" si="75"/>
        <v>2025</v>
      </c>
      <c r="V439" s="7" t="str">
        <f t="shared" si="76"/>
        <v>35-40</v>
      </c>
    </row>
    <row r="440" spans="1:22" x14ac:dyDescent="0.3">
      <c r="A440" s="7" t="s">
        <v>457</v>
      </c>
      <c r="B440" s="8" t="s">
        <v>1461</v>
      </c>
      <c r="C440" s="8">
        <v>28</v>
      </c>
      <c r="D440" s="8" t="s">
        <v>720</v>
      </c>
      <c r="E440" s="8" t="s">
        <v>723</v>
      </c>
      <c r="F440" s="7" t="s">
        <v>1730</v>
      </c>
      <c r="G440" s="7" t="s">
        <v>787</v>
      </c>
      <c r="H440" s="7" t="s">
        <v>780</v>
      </c>
      <c r="I440" s="7" t="s">
        <v>881</v>
      </c>
      <c r="J440" s="7">
        <f t="shared" si="66"/>
        <v>7</v>
      </c>
      <c r="K440" s="9">
        <f t="shared" si="67"/>
        <v>70000</v>
      </c>
      <c r="L440" s="7">
        <v>3</v>
      </c>
      <c r="M440" s="9">
        <f t="shared" si="68"/>
        <v>210000</v>
      </c>
      <c r="N440" s="9">
        <f t="shared" si="69"/>
        <v>126000</v>
      </c>
      <c r="O440" s="7" t="s">
        <v>1006</v>
      </c>
      <c r="P440" s="10">
        <f t="shared" si="70"/>
        <v>7.0000000000000007E-2</v>
      </c>
      <c r="Q440" s="9">
        <f t="shared" si="71"/>
        <v>14700.000000000002</v>
      </c>
      <c r="R440" s="9">
        <f t="shared" si="72"/>
        <v>195300</v>
      </c>
      <c r="S440" s="9" t="str">
        <f t="shared" si="73"/>
        <v>Profit</v>
      </c>
      <c r="T440" s="7" t="str">
        <f t="shared" si="74"/>
        <v>Jul</v>
      </c>
      <c r="U440" s="7">
        <f t="shared" si="75"/>
        <v>2025</v>
      </c>
      <c r="V440" s="7" t="str">
        <f t="shared" si="76"/>
        <v>25-30</v>
      </c>
    </row>
    <row r="441" spans="1:22" x14ac:dyDescent="0.3">
      <c r="A441" s="7" t="s">
        <v>458</v>
      </c>
      <c r="B441" s="8" t="s">
        <v>1462</v>
      </c>
      <c r="C441" s="8">
        <v>40</v>
      </c>
      <c r="D441" s="8" t="s">
        <v>720</v>
      </c>
      <c r="E441" s="8" t="s">
        <v>723</v>
      </c>
      <c r="F441" s="7" t="s">
        <v>729</v>
      </c>
      <c r="G441" s="7" t="s">
        <v>850</v>
      </c>
      <c r="H441" s="7" t="s">
        <v>765</v>
      </c>
      <c r="I441" s="7" t="s">
        <v>829</v>
      </c>
      <c r="J441" s="7">
        <f t="shared" si="66"/>
        <v>7</v>
      </c>
      <c r="K441" s="9">
        <f t="shared" si="67"/>
        <v>70000</v>
      </c>
      <c r="L441" s="7">
        <v>3</v>
      </c>
      <c r="M441" s="9">
        <f t="shared" si="68"/>
        <v>210000</v>
      </c>
      <c r="N441" s="9">
        <f t="shared" si="69"/>
        <v>126000</v>
      </c>
      <c r="O441" s="7" t="s">
        <v>1007</v>
      </c>
      <c r="P441" s="10">
        <f t="shared" si="70"/>
        <v>0</v>
      </c>
      <c r="Q441" s="9">
        <f t="shared" si="71"/>
        <v>0</v>
      </c>
      <c r="R441" s="9">
        <f t="shared" si="72"/>
        <v>5000</v>
      </c>
      <c r="S441" s="9" t="str">
        <f t="shared" si="73"/>
        <v>Loss</v>
      </c>
      <c r="T441" s="7" t="str">
        <f t="shared" si="74"/>
        <v>May</v>
      </c>
      <c r="U441" s="7">
        <f t="shared" si="75"/>
        <v>2025</v>
      </c>
      <c r="V441" s="7" t="str">
        <f t="shared" si="76"/>
        <v>40-45</v>
      </c>
    </row>
    <row r="442" spans="1:22" x14ac:dyDescent="0.3">
      <c r="A442" s="7" t="s">
        <v>459</v>
      </c>
      <c r="B442" s="8" t="s">
        <v>1463</v>
      </c>
      <c r="C442" s="8">
        <v>28</v>
      </c>
      <c r="D442" s="8" t="s">
        <v>720</v>
      </c>
      <c r="E442" s="8" t="s">
        <v>725</v>
      </c>
      <c r="F442" s="7" t="s">
        <v>732</v>
      </c>
      <c r="G442" s="7" t="s">
        <v>920</v>
      </c>
      <c r="H442" s="7" t="s">
        <v>792</v>
      </c>
      <c r="I442" s="7" t="s">
        <v>980</v>
      </c>
      <c r="J442" s="7">
        <f t="shared" si="66"/>
        <v>8</v>
      </c>
      <c r="K442" s="9">
        <f t="shared" si="67"/>
        <v>80000</v>
      </c>
      <c r="L442" s="7">
        <v>2</v>
      </c>
      <c r="M442" s="9">
        <f t="shared" si="68"/>
        <v>160000</v>
      </c>
      <c r="N442" s="9">
        <f t="shared" si="69"/>
        <v>96000</v>
      </c>
      <c r="O442" s="7" t="s">
        <v>1006</v>
      </c>
      <c r="P442" s="10">
        <f t="shared" si="70"/>
        <v>0.12</v>
      </c>
      <c r="Q442" s="9">
        <f t="shared" si="71"/>
        <v>19200</v>
      </c>
      <c r="R442" s="9">
        <f t="shared" si="72"/>
        <v>140800</v>
      </c>
      <c r="S442" s="9" t="str">
        <f t="shared" si="73"/>
        <v>Profit</v>
      </c>
      <c r="T442" s="7" t="str">
        <f t="shared" si="74"/>
        <v>Jul</v>
      </c>
      <c r="U442" s="7">
        <f t="shared" si="75"/>
        <v>2025</v>
      </c>
      <c r="V442" s="7" t="str">
        <f t="shared" si="76"/>
        <v>25-30</v>
      </c>
    </row>
    <row r="443" spans="1:22" x14ac:dyDescent="0.3">
      <c r="A443" s="7" t="s">
        <v>460</v>
      </c>
      <c r="B443" s="8" t="s">
        <v>1464</v>
      </c>
      <c r="C443" s="8">
        <v>49</v>
      </c>
      <c r="D443" s="8" t="s">
        <v>720</v>
      </c>
      <c r="E443" s="8" t="s">
        <v>726</v>
      </c>
      <c r="F443" s="7" t="s">
        <v>1728</v>
      </c>
      <c r="G443" s="7" t="s">
        <v>931</v>
      </c>
      <c r="H443" s="7" t="s">
        <v>899</v>
      </c>
      <c r="I443" s="7" t="s">
        <v>987</v>
      </c>
      <c r="J443" s="7">
        <f t="shared" si="66"/>
        <v>4</v>
      </c>
      <c r="K443" s="9">
        <f t="shared" si="67"/>
        <v>18000</v>
      </c>
      <c r="L443" s="7">
        <v>3</v>
      </c>
      <c r="M443" s="9">
        <f t="shared" si="68"/>
        <v>54000</v>
      </c>
      <c r="N443" s="9">
        <f t="shared" si="69"/>
        <v>27000</v>
      </c>
      <c r="O443" s="7" t="s">
        <v>1007</v>
      </c>
      <c r="P443" s="10">
        <f t="shared" si="70"/>
        <v>0</v>
      </c>
      <c r="Q443" s="9">
        <f t="shared" si="71"/>
        <v>0</v>
      </c>
      <c r="R443" s="9">
        <f t="shared" si="72"/>
        <v>5000</v>
      </c>
      <c r="S443" s="9" t="str">
        <f t="shared" si="73"/>
        <v>Loss</v>
      </c>
      <c r="T443" s="7" t="str">
        <f t="shared" si="74"/>
        <v>Aug</v>
      </c>
      <c r="U443" s="7">
        <f t="shared" si="75"/>
        <v>2025</v>
      </c>
      <c r="V443" s="7" t="str">
        <f t="shared" si="76"/>
        <v>45-50</v>
      </c>
    </row>
    <row r="444" spans="1:22" x14ac:dyDescent="0.3">
      <c r="A444" s="7" t="s">
        <v>461</v>
      </c>
      <c r="B444" s="8" t="s">
        <v>1465</v>
      </c>
      <c r="C444" s="8">
        <v>18</v>
      </c>
      <c r="D444" s="8" t="s">
        <v>720</v>
      </c>
      <c r="E444" s="8" t="s">
        <v>726</v>
      </c>
      <c r="F444" s="7" t="s">
        <v>732</v>
      </c>
      <c r="G444" s="7" t="s">
        <v>918</v>
      </c>
      <c r="H444" s="7" t="s">
        <v>917</v>
      </c>
      <c r="I444" s="7" t="s">
        <v>838</v>
      </c>
      <c r="J444" s="7">
        <f t="shared" si="66"/>
        <v>4</v>
      </c>
      <c r="K444" s="9">
        <f t="shared" si="67"/>
        <v>18000</v>
      </c>
      <c r="L444" s="7">
        <v>1</v>
      </c>
      <c r="M444" s="9">
        <f t="shared" si="68"/>
        <v>18000</v>
      </c>
      <c r="N444" s="9">
        <f t="shared" si="69"/>
        <v>9000</v>
      </c>
      <c r="O444" s="7" t="s">
        <v>1006</v>
      </c>
      <c r="P444" s="10">
        <f t="shared" si="70"/>
        <v>0.05</v>
      </c>
      <c r="Q444" s="9">
        <f t="shared" si="71"/>
        <v>900</v>
      </c>
      <c r="R444" s="9">
        <f t="shared" si="72"/>
        <v>17100</v>
      </c>
      <c r="S444" s="9" t="str">
        <f t="shared" si="73"/>
        <v>Profit</v>
      </c>
      <c r="T444" s="7" t="str">
        <f t="shared" si="74"/>
        <v>Jul</v>
      </c>
      <c r="U444" s="7">
        <f t="shared" si="75"/>
        <v>2025</v>
      </c>
      <c r="V444" s="7" t="str">
        <f t="shared" si="76"/>
        <v>15-20</v>
      </c>
    </row>
    <row r="445" spans="1:22" x14ac:dyDescent="0.3">
      <c r="A445" s="7" t="s">
        <v>462</v>
      </c>
      <c r="B445" s="8" t="s">
        <v>1466</v>
      </c>
      <c r="C445" s="8">
        <v>59</v>
      </c>
      <c r="D445" s="8" t="s">
        <v>721</v>
      </c>
      <c r="E445" s="8" t="s">
        <v>726</v>
      </c>
      <c r="F445" s="7" t="s">
        <v>1731</v>
      </c>
      <c r="G445" s="7" t="s">
        <v>814</v>
      </c>
      <c r="H445" s="7" t="s">
        <v>851</v>
      </c>
      <c r="I445" s="7" t="s">
        <v>773</v>
      </c>
      <c r="J445" s="7">
        <f t="shared" si="66"/>
        <v>4</v>
      </c>
      <c r="K445" s="9">
        <f t="shared" si="67"/>
        <v>18000</v>
      </c>
      <c r="L445" s="7">
        <v>4</v>
      </c>
      <c r="M445" s="9">
        <f t="shared" si="68"/>
        <v>72000</v>
      </c>
      <c r="N445" s="9">
        <f t="shared" si="69"/>
        <v>36000</v>
      </c>
      <c r="O445" s="7" t="s">
        <v>1006</v>
      </c>
      <c r="P445" s="10">
        <f t="shared" si="70"/>
        <v>0.05</v>
      </c>
      <c r="Q445" s="9">
        <f t="shared" si="71"/>
        <v>3600</v>
      </c>
      <c r="R445" s="9">
        <f t="shared" si="72"/>
        <v>68400</v>
      </c>
      <c r="S445" s="9" t="str">
        <f t="shared" si="73"/>
        <v>Profit</v>
      </c>
      <c r="T445" s="7" t="str">
        <f t="shared" si="74"/>
        <v>Jan</v>
      </c>
      <c r="U445" s="7">
        <f t="shared" si="75"/>
        <v>2025</v>
      </c>
      <c r="V445" s="7" t="str">
        <f t="shared" si="76"/>
        <v>55-60</v>
      </c>
    </row>
    <row r="446" spans="1:22" x14ac:dyDescent="0.3">
      <c r="A446" s="7" t="s">
        <v>463</v>
      </c>
      <c r="B446" s="8" t="s">
        <v>1467</v>
      </c>
      <c r="C446" s="8">
        <v>48</v>
      </c>
      <c r="D446" s="8" t="s">
        <v>721</v>
      </c>
      <c r="E446" s="8" t="s">
        <v>724</v>
      </c>
      <c r="F446" s="7" t="s">
        <v>733</v>
      </c>
      <c r="G446" s="7" t="s">
        <v>911</v>
      </c>
      <c r="H446" s="7" t="s">
        <v>964</v>
      </c>
      <c r="I446" s="7" t="s">
        <v>853</v>
      </c>
      <c r="J446" s="7">
        <f t="shared" si="66"/>
        <v>10</v>
      </c>
      <c r="K446" s="9">
        <f t="shared" si="67"/>
        <v>120000</v>
      </c>
      <c r="L446" s="7">
        <v>1</v>
      </c>
      <c r="M446" s="9">
        <f t="shared" si="68"/>
        <v>120000</v>
      </c>
      <c r="N446" s="9">
        <f t="shared" si="69"/>
        <v>78000</v>
      </c>
      <c r="O446" s="7" t="s">
        <v>1007</v>
      </c>
      <c r="P446" s="10">
        <f t="shared" si="70"/>
        <v>0</v>
      </c>
      <c r="Q446" s="9">
        <f t="shared" si="71"/>
        <v>0</v>
      </c>
      <c r="R446" s="9">
        <f t="shared" si="72"/>
        <v>5000</v>
      </c>
      <c r="S446" s="9" t="str">
        <f t="shared" si="73"/>
        <v>Loss</v>
      </c>
      <c r="T446" s="7" t="str">
        <f t="shared" si="74"/>
        <v>May</v>
      </c>
      <c r="U446" s="7">
        <f t="shared" si="75"/>
        <v>2025</v>
      </c>
      <c r="V446" s="7" t="str">
        <f t="shared" si="76"/>
        <v>45-50</v>
      </c>
    </row>
    <row r="447" spans="1:22" x14ac:dyDescent="0.3">
      <c r="A447" s="7" t="s">
        <v>464</v>
      </c>
      <c r="B447" s="8" t="s">
        <v>1468</v>
      </c>
      <c r="C447" s="8">
        <v>29</v>
      </c>
      <c r="D447" s="8" t="s">
        <v>721</v>
      </c>
      <c r="E447" s="8" t="s">
        <v>724</v>
      </c>
      <c r="F447" s="7" t="s">
        <v>1736</v>
      </c>
      <c r="G447" s="7" t="s">
        <v>932</v>
      </c>
      <c r="H447" s="7" t="s">
        <v>934</v>
      </c>
      <c r="I447" s="7" t="s">
        <v>831</v>
      </c>
      <c r="J447" s="7">
        <f t="shared" si="66"/>
        <v>10</v>
      </c>
      <c r="K447" s="9">
        <f t="shared" si="67"/>
        <v>120000</v>
      </c>
      <c r="L447" s="7">
        <v>2</v>
      </c>
      <c r="M447" s="9">
        <f t="shared" si="68"/>
        <v>240000</v>
      </c>
      <c r="N447" s="9">
        <f t="shared" si="69"/>
        <v>156000</v>
      </c>
      <c r="O447" s="7" t="s">
        <v>1007</v>
      </c>
      <c r="P447" s="10">
        <f t="shared" si="70"/>
        <v>0</v>
      </c>
      <c r="Q447" s="9">
        <f t="shared" si="71"/>
        <v>0</v>
      </c>
      <c r="R447" s="9">
        <f t="shared" si="72"/>
        <v>5000</v>
      </c>
      <c r="S447" s="9" t="str">
        <f t="shared" si="73"/>
        <v>Loss</v>
      </c>
      <c r="T447" s="7" t="str">
        <f t="shared" si="74"/>
        <v>Jan</v>
      </c>
      <c r="U447" s="7">
        <f t="shared" si="75"/>
        <v>2025</v>
      </c>
      <c r="V447" s="7" t="str">
        <f t="shared" si="76"/>
        <v>25-30</v>
      </c>
    </row>
    <row r="448" spans="1:22" x14ac:dyDescent="0.3">
      <c r="A448" s="7" t="s">
        <v>465</v>
      </c>
      <c r="B448" s="8" t="s">
        <v>1469</v>
      </c>
      <c r="C448" s="8">
        <v>42</v>
      </c>
      <c r="D448" s="8" t="s">
        <v>720</v>
      </c>
      <c r="E448" s="8" t="s">
        <v>724</v>
      </c>
      <c r="F448" s="7" t="s">
        <v>727</v>
      </c>
      <c r="G448" s="7" t="s">
        <v>819</v>
      </c>
      <c r="H448" s="7" t="s">
        <v>933</v>
      </c>
      <c r="I448" s="7" t="s">
        <v>781</v>
      </c>
      <c r="J448" s="7">
        <f t="shared" si="66"/>
        <v>10</v>
      </c>
      <c r="K448" s="9">
        <f t="shared" si="67"/>
        <v>120000</v>
      </c>
      <c r="L448" s="7">
        <v>4</v>
      </c>
      <c r="M448" s="9">
        <f t="shared" si="68"/>
        <v>480000</v>
      </c>
      <c r="N448" s="9">
        <f t="shared" si="69"/>
        <v>312000</v>
      </c>
      <c r="O448" s="7" t="s">
        <v>1006</v>
      </c>
      <c r="P448" s="10">
        <f t="shared" si="70"/>
        <v>0.15</v>
      </c>
      <c r="Q448" s="9">
        <f t="shared" si="71"/>
        <v>72000</v>
      </c>
      <c r="R448" s="9">
        <f t="shared" si="72"/>
        <v>408000</v>
      </c>
      <c r="S448" s="9" t="str">
        <f t="shared" si="73"/>
        <v>Profit</v>
      </c>
      <c r="T448" s="7" t="str">
        <f t="shared" si="74"/>
        <v>Jan</v>
      </c>
      <c r="U448" s="7">
        <f t="shared" si="75"/>
        <v>2025</v>
      </c>
      <c r="V448" s="7" t="str">
        <f t="shared" si="76"/>
        <v>40-45</v>
      </c>
    </row>
    <row r="449" spans="1:22" x14ac:dyDescent="0.3">
      <c r="A449" s="7" t="s">
        <v>466</v>
      </c>
      <c r="B449" s="8" t="s">
        <v>1470</v>
      </c>
      <c r="C449" s="8">
        <v>46</v>
      </c>
      <c r="D449" s="8" t="s">
        <v>721</v>
      </c>
      <c r="E449" s="8" t="s">
        <v>723</v>
      </c>
      <c r="F449" s="7" t="s">
        <v>729</v>
      </c>
      <c r="G449" s="7" t="s">
        <v>769</v>
      </c>
      <c r="H449" s="7" t="s">
        <v>855</v>
      </c>
      <c r="I449" s="7" t="s">
        <v>915</v>
      </c>
      <c r="J449" s="7">
        <f t="shared" si="66"/>
        <v>7</v>
      </c>
      <c r="K449" s="9">
        <f t="shared" si="67"/>
        <v>70000</v>
      </c>
      <c r="L449" s="7">
        <v>2</v>
      </c>
      <c r="M449" s="9">
        <f t="shared" si="68"/>
        <v>140000</v>
      </c>
      <c r="N449" s="9">
        <f t="shared" si="69"/>
        <v>84000</v>
      </c>
      <c r="O449" s="7" t="s">
        <v>1006</v>
      </c>
      <c r="P449" s="10">
        <f t="shared" si="70"/>
        <v>7.0000000000000007E-2</v>
      </c>
      <c r="Q449" s="9">
        <f t="shared" si="71"/>
        <v>9800.0000000000018</v>
      </c>
      <c r="R449" s="9">
        <f t="shared" si="72"/>
        <v>130200</v>
      </c>
      <c r="S449" s="9" t="str">
        <f t="shared" si="73"/>
        <v>Profit</v>
      </c>
      <c r="T449" s="7" t="str">
        <f t="shared" si="74"/>
        <v>Feb</v>
      </c>
      <c r="U449" s="7">
        <f t="shared" si="75"/>
        <v>2025</v>
      </c>
      <c r="V449" s="7" t="str">
        <f t="shared" si="76"/>
        <v>45-50</v>
      </c>
    </row>
    <row r="450" spans="1:22" x14ac:dyDescent="0.3">
      <c r="A450" s="7" t="s">
        <v>467</v>
      </c>
      <c r="B450" s="8" t="s">
        <v>1471</v>
      </c>
      <c r="C450" s="8">
        <v>19</v>
      </c>
      <c r="D450" s="8" t="s">
        <v>721</v>
      </c>
      <c r="E450" s="8" t="s">
        <v>724</v>
      </c>
      <c r="F450" s="7" t="s">
        <v>1736</v>
      </c>
      <c r="G450" s="7" t="s">
        <v>835</v>
      </c>
      <c r="H450" s="7" t="s">
        <v>792</v>
      </c>
      <c r="I450" s="7" t="s">
        <v>841</v>
      </c>
      <c r="J450" s="7">
        <f t="shared" si="66"/>
        <v>10</v>
      </c>
      <c r="K450" s="9">
        <f t="shared" si="67"/>
        <v>120000</v>
      </c>
      <c r="L450" s="7">
        <v>2</v>
      </c>
      <c r="M450" s="9">
        <f t="shared" si="68"/>
        <v>240000</v>
      </c>
      <c r="N450" s="9">
        <f t="shared" si="69"/>
        <v>156000</v>
      </c>
      <c r="O450" s="7" t="s">
        <v>1007</v>
      </c>
      <c r="P450" s="10">
        <f t="shared" si="70"/>
        <v>0</v>
      </c>
      <c r="Q450" s="9">
        <f t="shared" si="71"/>
        <v>0</v>
      </c>
      <c r="R450" s="9">
        <f t="shared" si="72"/>
        <v>5000</v>
      </c>
      <c r="S450" s="9" t="str">
        <f t="shared" si="73"/>
        <v>Loss</v>
      </c>
      <c r="T450" s="7" t="str">
        <f t="shared" si="74"/>
        <v>Aug</v>
      </c>
      <c r="U450" s="7">
        <f t="shared" si="75"/>
        <v>2025</v>
      </c>
      <c r="V450" s="7" t="str">
        <f t="shared" si="76"/>
        <v>15-20</v>
      </c>
    </row>
    <row r="451" spans="1:22" x14ac:dyDescent="0.3">
      <c r="A451" s="7" t="s">
        <v>468</v>
      </c>
      <c r="B451" s="8" t="s">
        <v>1472</v>
      </c>
      <c r="C451" s="8">
        <v>29</v>
      </c>
      <c r="D451" s="8" t="s">
        <v>721</v>
      </c>
      <c r="E451" s="8" t="s">
        <v>722</v>
      </c>
      <c r="F451" s="7" t="s">
        <v>728</v>
      </c>
      <c r="G451" s="7" t="s">
        <v>906</v>
      </c>
      <c r="H451" s="7" t="s">
        <v>828</v>
      </c>
      <c r="I451" s="7" t="s">
        <v>781</v>
      </c>
      <c r="J451" s="7">
        <f t="shared" si="66"/>
        <v>5</v>
      </c>
      <c r="K451" s="9">
        <f t="shared" si="67"/>
        <v>60000</v>
      </c>
      <c r="L451" s="7">
        <v>3</v>
      </c>
      <c r="M451" s="9">
        <f t="shared" si="68"/>
        <v>180000</v>
      </c>
      <c r="N451" s="9">
        <f t="shared" si="69"/>
        <v>117000</v>
      </c>
      <c r="O451" s="7" t="s">
        <v>1007</v>
      </c>
      <c r="P451" s="10">
        <f t="shared" si="70"/>
        <v>0</v>
      </c>
      <c r="Q451" s="9">
        <f t="shared" si="71"/>
        <v>0</v>
      </c>
      <c r="R451" s="9">
        <f t="shared" si="72"/>
        <v>5000</v>
      </c>
      <c r="S451" s="9" t="str">
        <f t="shared" si="73"/>
        <v>Loss</v>
      </c>
      <c r="T451" s="7" t="str">
        <f t="shared" si="74"/>
        <v>Jan</v>
      </c>
      <c r="U451" s="7">
        <f t="shared" si="75"/>
        <v>2025</v>
      </c>
      <c r="V451" s="7" t="str">
        <f t="shared" si="76"/>
        <v>25-30</v>
      </c>
    </row>
    <row r="452" spans="1:22" x14ac:dyDescent="0.3">
      <c r="A452" s="7" t="s">
        <v>469</v>
      </c>
      <c r="B452" s="8" t="s">
        <v>1473</v>
      </c>
      <c r="C452" s="8">
        <v>52</v>
      </c>
      <c r="D452" s="8" t="s">
        <v>721</v>
      </c>
      <c r="E452" s="8" t="s">
        <v>726</v>
      </c>
      <c r="F452" s="7" t="s">
        <v>1729</v>
      </c>
      <c r="G452" s="7" t="s">
        <v>783</v>
      </c>
      <c r="H452" s="7" t="s">
        <v>952</v>
      </c>
      <c r="I452" s="7" t="s">
        <v>743</v>
      </c>
      <c r="J452" s="7">
        <f t="shared" ref="J452:J515" si="77">IF(E452="Adventure",5,IF(E452="Domestic",4,IF(E452="Family",7,IF(E452="Honeymoon",8,IF(E452="International",10,"")))))</f>
        <v>4</v>
      </c>
      <c r="K452" s="9">
        <f t="shared" ref="K452:K515" si="78">IF(E452="Adventure",60000,
IF(E452="Domestic",18000,
IF(E452="Family",70000,
IF(E452="Honeymoon",80000,
IF(E452="International",120000,"")))))</f>
        <v>18000</v>
      </c>
      <c r="L452" s="7">
        <v>4</v>
      </c>
      <c r="M452" s="9">
        <f t="shared" ref="M452:M515" si="79">K452*L452</f>
        <v>72000</v>
      </c>
      <c r="N452" s="9">
        <f t="shared" ref="N452:N515" si="80">IF(E452="Adventure",M452*65%,IF(E452="Domestic",M452*50%,IF(E452="Family",M452*60%,IF(E452="Honeymoon",M452*60%,IF(E452="International",M452*65%,0)))))</f>
        <v>36000</v>
      </c>
      <c r="O452" s="7" t="s">
        <v>1006</v>
      </c>
      <c r="P452" s="10">
        <f t="shared" ref="P452:P515" si="81">IF(O452="Cancelled",0,IF(E452="Domestic",5%,IF(E452="Adventure",10%,IF(E452="Family",7%,IF(E452="Honeymoon",12%,IF(E452="International",15%,0))))))</f>
        <v>0.05</v>
      </c>
      <c r="Q452" s="9">
        <f t="shared" ref="Q452:Q515" si="82">M452*P452</f>
        <v>3600</v>
      </c>
      <c r="R452" s="9">
        <f t="shared" ref="R452:R515" si="83">IF(O452="Cancelled",5000,M452-Q452)</f>
        <v>68400</v>
      </c>
      <c r="S452" s="9" t="str">
        <f t="shared" ref="S452:S515" si="84">IF(R452-N452&gt;5000,"Profit","Loss")</f>
        <v>Profit</v>
      </c>
      <c r="T452" s="7" t="str">
        <f t="shared" ref="T452:T515" si="85">TEXT(G452,"mmm")</f>
        <v>Jun</v>
      </c>
      <c r="U452" s="7">
        <f t="shared" ref="U452:U515" si="86">YEAR(G452)</f>
        <v>2025</v>
      </c>
      <c r="V452" s="7" t="str">
        <f t="shared" ref="V452:V515" si="87">FLOOR(C452,5) &amp; "-" &amp; FLOOR(C452,5)+5</f>
        <v>50-55</v>
      </c>
    </row>
    <row r="453" spans="1:22" x14ac:dyDescent="0.3">
      <c r="A453" s="7" t="s">
        <v>470</v>
      </c>
      <c r="B453" s="8" t="s">
        <v>1474</v>
      </c>
      <c r="C453" s="8">
        <v>55</v>
      </c>
      <c r="D453" s="8" t="s">
        <v>721</v>
      </c>
      <c r="E453" s="8" t="s">
        <v>724</v>
      </c>
      <c r="F453" s="7" t="s">
        <v>729</v>
      </c>
      <c r="G453" s="7" t="s">
        <v>809</v>
      </c>
      <c r="H453" s="7" t="s">
        <v>833</v>
      </c>
      <c r="I453" s="7" t="s">
        <v>962</v>
      </c>
      <c r="J453" s="7">
        <f t="shared" si="77"/>
        <v>10</v>
      </c>
      <c r="K453" s="9">
        <f t="shared" si="78"/>
        <v>120000</v>
      </c>
      <c r="L453" s="7">
        <v>2</v>
      </c>
      <c r="M453" s="9">
        <f t="shared" si="79"/>
        <v>240000</v>
      </c>
      <c r="N453" s="9">
        <f t="shared" si="80"/>
        <v>156000</v>
      </c>
      <c r="O453" s="7" t="s">
        <v>1007</v>
      </c>
      <c r="P453" s="10">
        <f t="shared" si="81"/>
        <v>0</v>
      </c>
      <c r="Q453" s="9">
        <f t="shared" si="82"/>
        <v>0</v>
      </c>
      <c r="R453" s="9">
        <f t="shared" si="83"/>
        <v>5000</v>
      </c>
      <c r="S453" s="9" t="str">
        <f t="shared" si="84"/>
        <v>Loss</v>
      </c>
      <c r="T453" s="7" t="str">
        <f t="shared" si="85"/>
        <v>May</v>
      </c>
      <c r="U453" s="7">
        <f t="shared" si="86"/>
        <v>2025</v>
      </c>
      <c r="V453" s="7" t="str">
        <f t="shared" si="87"/>
        <v>55-60</v>
      </c>
    </row>
    <row r="454" spans="1:22" x14ac:dyDescent="0.3">
      <c r="A454" s="7" t="s">
        <v>471</v>
      </c>
      <c r="B454" s="8" t="s">
        <v>1475</v>
      </c>
      <c r="C454" s="8">
        <v>25</v>
      </c>
      <c r="D454" s="8" t="s">
        <v>721</v>
      </c>
      <c r="E454" s="8" t="s">
        <v>724</v>
      </c>
      <c r="F454" s="7" t="s">
        <v>1735</v>
      </c>
      <c r="G454" s="7" t="s">
        <v>802</v>
      </c>
      <c r="H454" s="7" t="s">
        <v>877</v>
      </c>
      <c r="I454" s="7" t="s">
        <v>946</v>
      </c>
      <c r="J454" s="7">
        <f t="shared" si="77"/>
        <v>10</v>
      </c>
      <c r="K454" s="9">
        <f t="shared" si="78"/>
        <v>120000</v>
      </c>
      <c r="L454" s="7">
        <v>1</v>
      </c>
      <c r="M454" s="9">
        <f t="shared" si="79"/>
        <v>120000</v>
      </c>
      <c r="N454" s="9">
        <f t="shared" si="80"/>
        <v>78000</v>
      </c>
      <c r="O454" s="7" t="s">
        <v>1006</v>
      </c>
      <c r="P454" s="10">
        <f t="shared" si="81"/>
        <v>0.15</v>
      </c>
      <c r="Q454" s="9">
        <f t="shared" si="82"/>
        <v>18000</v>
      </c>
      <c r="R454" s="9">
        <f t="shared" si="83"/>
        <v>102000</v>
      </c>
      <c r="S454" s="9" t="str">
        <f t="shared" si="84"/>
        <v>Profit</v>
      </c>
      <c r="T454" s="7" t="str">
        <f t="shared" si="85"/>
        <v>Feb</v>
      </c>
      <c r="U454" s="7">
        <f t="shared" si="86"/>
        <v>2025</v>
      </c>
      <c r="V454" s="7" t="str">
        <f t="shared" si="87"/>
        <v>25-30</v>
      </c>
    </row>
    <row r="455" spans="1:22" x14ac:dyDescent="0.3">
      <c r="A455" s="7" t="s">
        <v>472</v>
      </c>
      <c r="B455" s="8" t="s">
        <v>1476</v>
      </c>
      <c r="C455" s="8">
        <v>55</v>
      </c>
      <c r="D455" s="8" t="s">
        <v>721</v>
      </c>
      <c r="E455" s="8" t="s">
        <v>724</v>
      </c>
      <c r="F455" s="7" t="s">
        <v>733</v>
      </c>
      <c r="G455" s="7" t="s">
        <v>933</v>
      </c>
      <c r="H455" s="7" t="s">
        <v>874</v>
      </c>
      <c r="I455" s="7" t="s">
        <v>936</v>
      </c>
      <c r="J455" s="7">
        <f t="shared" si="77"/>
        <v>10</v>
      </c>
      <c r="K455" s="9">
        <f t="shared" si="78"/>
        <v>120000</v>
      </c>
      <c r="L455" s="7">
        <v>2</v>
      </c>
      <c r="M455" s="9">
        <f t="shared" si="79"/>
        <v>240000</v>
      </c>
      <c r="N455" s="9">
        <f t="shared" si="80"/>
        <v>156000</v>
      </c>
      <c r="O455" s="7" t="s">
        <v>1006</v>
      </c>
      <c r="P455" s="10">
        <f t="shared" si="81"/>
        <v>0.15</v>
      </c>
      <c r="Q455" s="9">
        <f t="shared" si="82"/>
        <v>36000</v>
      </c>
      <c r="R455" s="9">
        <f t="shared" si="83"/>
        <v>204000</v>
      </c>
      <c r="S455" s="9" t="str">
        <f t="shared" si="84"/>
        <v>Profit</v>
      </c>
      <c r="T455" s="7" t="str">
        <f t="shared" si="85"/>
        <v>Feb</v>
      </c>
      <c r="U455" s="7">
        <f t="shared" si="86"/>
        <v>2025</v>
      </c>
      <c r="V455" s="7" t="str">
        <f t="shared" si="87"/>
        <v>55-60</v>
      </c>
    </row>
    <row r="456" spans="1:22" x14ac:dyDescent="0.3">
      <c r="A456" s="7" t="s">
        <v>473</v>
      </c>
      <c r="B456" s="8" t="s">
        <v>1477</v>
      </c>
      <c r="C456" s="8">
        <v>59</v>
      </c>
      <c r="D456" s="8" t="s">
        <v>720</v>
      </c>
      <c r="E456" s="8" t="s">
        <v>723</v>
      </c>
      <c r="F456" s="7" t="s">
        <v>729</v>
      </c>
      <c r="G456" s="7" t="s">
        <v>913</v>
      </c>
      <c r="H456" s="7" t="s">
        <v>931</v>
      </c>
      <c r="I456" s="7" t="s">
        <v>835</v>
      </c>
      <c r="J456" s="7">
        <f t="shared" si="77"/>
        <v>7</v>
      </c>
      <c r="K456" s="9">
        <f t="shared" si="78"/>
        <v>70000</v>
      </c>
      <c r="L456" s="7">
        <v>2</v>
      </c>
      <c r="M456" s="9">
        <f t="shared" si="79"/>
        <v>140000</v>
      </c>
      <c r="N456" s="9">
        <f t="shared" si="80"/>
        <v>84000</v>
      </c>
      <c r="O456" s="7" t="s">
        <v>1007</v>
      </c>
      <c r="P456" s="10">
        <f t="shared" si="81"/>
        <v>0</v>
      </c>
      <c r="Q456" s="9">
        <f t="shared" si="82"/>
        <v>0</v>
      </c>
      <c r="R456" s="9">
        <f t="shared" si="83"/>
        <v>5000</v>
      </c>
      <c r="S456" s="9" t="str">
        <f t="shared" si="84"/>
        <v>Loss</v>
      </c>
      <c r="T456" s="7" t="str">
        <f t="shared" si="85"/>
        <v>Jul</v>
      </c>
      <c r="U456" s="7">
        <f t="shared" si="86"/>
        <v>2025</v>
      </c>
      <c r="V456" s="7" t="str">
        <f t="shared" si="87"/>
        <v>55-60</v>
      </c>
    </row>
    <row r="457" spans="1:22" x14ac:dyDescent="0.3">
      <c r="A457" s="7" t="s">
        <v>474</v>
      </c>
      <c r="B457" s="8" t="s">
        <v>1478</v>
      </c>
      <c r="C457" s="8">
        <v>59</v>
      </c>
      <c r="D457" s="8" t="s">
        <v>721</v>
      </c>
      <c r="E457" s="8" t="s">
        <v>723</v>
      </c>
      <c r="F457" s="7" t="s">
        <v>734</v>
      </c>
      <c r="G457" s="7" t="s">
        <v>799</v>
      </c>
      <c r="H457" s="7" t="s">
        <v>831</v>
      </c>
      <c r="I457" s="7" t="s">
        <v>823</v>
      </c>
      <c r="J457" s="7">
        <f t="shared" si="77"/>
        <v>7</v>
      </c>
      <c r="K457" s="9">
        <f t="shared" si="78"/>
        <v>70000</v>
      </c>
      <c r="L457" s="7">
        <v>4</v>
      </c>
      <c r="M457" s="9">
        <f t="shared" si="79"/>
        <v>280000</v>
      </c>
      <c r="N457" s="9">
        <f t="shared" si="80"/>
        <v>168000</v>
      </c>
      <c r="O457" s="7" t="s">
        <v>1007</v>
      </c>
      <c r="P457" s="10">
        <f t="shared" si="81"/>
        <v>0</v>
      </c>
      <c r="Q457" s="9">
        <f t="shared" si="82"/>
        <v>0</v>
      </c>
      <c r="R457" s="9">
        <f t="shared" si="83"/>
        <v>5000</v>
      </c>
      <c r="S457" s="9" t="str">
        <f t="shared" si="84"/>
        <v>Loss</v>
      </c>
      <c r="T457" s="7" t="str">
        <f t="shared" si="85"/>
        <v>Jan</v>
      </c>
      <c r="U457" s="7">
        <f t="shared" si="86"/>
        <v>2025</v>
      </c>
      <c r="V457" s="7" t="str">
        <f t="shared" si="87"/>
        <v>55-60</v>
      </c>
    </row>
    <row r="458" spans="1:22" x14ac:dyDescent="0.3">
      <c r="A458" s="7" t="s">
        <v>475</v>
      </c>
      <c r="B458" s="8" t="s">
        <v>1479</v>
      </c>
      <c r="C458" s="8">
        <v>27</v>
      </c>
      <c r="D458" s="8" t="s">
        <v>720</v>
      </c>
      <c r="E458" s="8" t="s">
        <v>726</v>
      </c>
      <c r="F458" s="7" t="s">
        <v>728</v>
      </c>
      <c r="G458" s="7" t="s">
        <v>854</v>
      </c>
      <c r="H458" s="7" t="s">
        <v>752</v>
      </c>
      <c r="I458" s="7" t="s">
        <v>820</v>
      </c>
      <c r="J458" s="7">
        <f t="shared" si="77"/>
        <v>4</v>
      </c>
      <c r="K458" s="9">
        <f t="shared" si="78"/>
        <v>18000</v>
      </c>
      <c r="L458" s="7">
        <v>3</v>
      </c>
      <c r="M458" s="9">
        <f t="shared" si="79"/>
        <v>54000</v>
      </c>
      <c r="N458" s="9">
        <f t="shared" si="80"/>
        <v>27000</v>
      </c>
      <c r="O458" s="7" t="s">
        <v>1007</v>
      </c>
      <c r="P458" s="10">
        <f t="shared" si="81"/>
        <v>0</v>
      </c>
      <c r="Q458" s="9">
        <f t="shared" si="82"/>
        <v>0</v>
      </c>
      <c r="R458" s="9">
        <f t="shared" si="83"/>
        <v>5000</v>
      </c>
      <c r="S458" s="9" t="str">
        <f t="shared" si="84"/>
        <v>Loss</v>
      </c>
      <c r="T458" s="7" t="str">
        <f t="shared" si="85"/>
        <v>Apr</v>
      </c>
      <c r="U458" s="7">
        <f t="shared" si="86"/>
        <v>2025</v>
      </c>
      <c r="V458" s="7" t="str">
        <f t="shared" si="87"/>
        <v>25-30</v>
      </c>
    </row>
    <row r="459" spans="1:22" x14ac:dyDescent="0.3">
      <c r="A459" s="7" t="s">
        <v>476</v>
      </c>
      <c r="B459" s="8" t="s">
        <v>1480</v>
      </c>
      <c r="C459" s="8">
        <v>27</v>
      </c>
      <c r="D459" s="8" t="s">
        <v>721</v>
      </c>
      <c r="E459" s="8" t="s">
        <v>725</v>
      </c>
      <c r="F459" s="7" t="s">
        <v>727</v>
      </c>
      <c r="G459" s="7" t="s">
        <v>881</v>
      </c>
      <c r="H459" s="7" t="s">
        <v>772</v>
      </c>
      <c r="I459" s="7" t="s">
        <v>997</v>
      </c>
      <c r="J459" s="7">
        <f t="shared" si="77"/>
        <v>8</v>
      </c>
      <c r="K459" s="9">
        <f t="shared" si="78"/>
        <v>80000</v>
      </c>
      <c r="L459" s="7">
        <v>2</v>
      </c>
      <c r="M459" s="9">
        <f t="shared" si="79"/>
        <v>160000</v>
      </c>
      <c r="N459" s="9">
        <f t="shared" si="80"/>
        <v>96000</v>
      </c>
      <c r="O459" s="7" t="s">
        <v>1006</v>
      </c>
      <c r="P459" s="10">
        <f t="shared" si="81"/>
        <v>0.12</v>
      </c>
      <c r="Q459" s="9">
        <f t="shared" si="82"/>
        <v>19200</v>
      </c>
      <c r="R459" s="9">
        <f t="shared" si="83"/>
        <v>140800</v>
      </c>
      <c r="S459" s="9" t="str">
        <f t="shared" si="84"/>
        <v>Profit</v>
      </c>
      <c r="T459" s="7" t="str">
        <f t="shared" si="85"/>
        <v>Jul</v>
      </c>
      <c r="U459" s="7">
        <f t="shared" si="86"/>
        <v>2025</v>
      </c>
      <c r="V459" s="7" t="str">
        <f t="shared" si="87"/>
        <v>25-30</v>
      </c>
    </row>
    <row r="460" spans="1:22" x14ac:dyDescent="0.3">
      <c r="A460" s="7" t="s">
        <v>477</v>
      </c>
      <c r="B460" s="8" t="s">
        <v>1481</v>
      </c>
      <c r="C460" s="8">
        <v>30</v>
      </c>
      <c r="D460" s="8" t="s">
        <v>720</v>
      </c>
      <c r="E460" s="8" t="s">
        <v>725</v>
      </c>
      <c r="F460" s="7" t="s">
        <v>730</v>
      </c>
      <c r="G460" s="7" t="s">
        <v>889</v>
      </c>
      <c r="H460" s="7" t="s">
        <v>755</v>
      </c>
      <c r="I460" s="7" t="s">
        <v>801</v>
      </c>
      <c r="J460" s="7">
        <f t="shared" si="77"/>
        <v>8</v>
      </c>
      <c r="K460" s="9">
        <f t="shared" si="78"/>
        <v>80000</v>
      </c>
      <c r="L460" s="7">
        <v>2</v>
      </c>
      <c r="M460" s="9">
        <f t="shared" si="79"/>
        <v>160000</v>
      </c>
      <c r="N460" s="9">
        <f t="shared" si="80"/>
        <v>96000</v>
      </c>
      <c r="O460" s="7" t="s">
        <v>1007</v>
      </c>
      <c r="P460" s="10">
        <f t="shared" si="81"/>
        <v>0</v>
      </c>
      <c r="Q460" s="9">
        <f t="shared" si="82"/>
        <v>0</v>
      </c>
      <c r="R460" s="9">
        <f t="shared" si="83"/>
        <v>5000</v>
      </c>
      <c r="S460" s="9" t="str">
        <f t="shared" si="84"/>
        <v>Loss</v>
      </c>
      <c r="T460" s="7" t="str">
        <f t="shared" si="85"/>
        <v>Apr</v>
      </c>
      <c r="U460" s="7">
        <f t="shared" si="86"/>
        <v>2025</v>
      </c>
      <c r="V460" s="7" t="str">
        <f t="shared" si="87"/>
        <v>30-35</v>
      </c>
    </row>
    <row r="461" spans="1:22" x14ac:dyDescent="0.3">
      <c r="A461" s="7" t="s">
        <v>478</v>
      </c>
      <c r="B461" s="8" t="s">
        <v>1482</v>
      </c>
      <c r="C461" s="8">
        <v>29</v>
      </c>
      <c r="D461" s="8" t="s">
        <v>721</v>
      </c>
      <c r="E461" s="8" t="s">
        <v>726</v>
      </c>
      <c r="F461" s="7" t="s">
        <v>732</v>
      </c>
      <c r="G461" s="7" t="s">
        <v>876</v>
      </c>
      <c r="H461" s="7" t="s">
        <v>851</v>
      </c>
      <c r="I461" s="7" t="s">
        <v>882</v>
      </c>
      <c r="J461" s="7">
        <f t="shared" si="77"/>
        <v>4</v>
      </c>
      <c r="K461" s="9">
        <f t="shared" si="78"/>
        <v>18000</v>
      </c>
      <c r="L461" s="7">
        <v>1</v>
      </c>
      <c r="M461" s="9">
        <f t="shared" si="79"/>
        <v>18000</v>
      </c>
      <c r="N461" s="9">
        <f t="shared" si="80"/>
        <v>9000</v>
      </c>
      <c r="O461" s="7" t="s">
        <v>1006</v>
      </c>
      <c r="P461" s="10">
        <f t="shared" si="81"/>
        <v>0.05</v>
      </c>
      <c r="Q461" s="9">
        <f t="shared" si="82"/>
        <v>900</v>
      </c>
      <c r="R461" s="9">
        <f t="shared" si="83"/>
        <v>17100</v>
      </c>
      <c r="S461" s="9" t="str">
        <f t="shared" si="84"/>
        <v>Profit</v>
      </c>
      <c r="T461" s="7" t="str">
        <f t="shared" si="85"/>
        <v>Jan</v>
      </c>
      <c r="U461" s="7">
        <f t="shared" si="86"/>
        <v>2025</v>
      </c>
      <c r="V461" s="7" t="str">
        <f t="shared" si="87"/>
        <v>25-30</v>
      </c>
    </row>
    <row r="462" spans="1:22" x14ac:dyDescent="0.3">
      <c r="A462" s="7" t="s">
        <v>479</v>
      </c>
      <c r="B462" s="8" t="s">
        <v>1483</v>
      </c>
      <c r="C462" s="8">
        <v>18</v>
      </c>
      <c r="D462" s="8" t="s">
        <v>720</v>
      </c>
      <c r="E462" s="8" t="s">
        <v>722</v>
      </c>
      <c r="F462" s="7" t="s">
        <v>729</v>
      </c>
      <c r="G462" s="7" t="s">
        <v>923</v>
      </c>
      <c r="H462" s="7" t="s">
        <v>763</v>
      </c>
      <c r="I462" s="7" t="s">
        <v>851</v>
      </c>
      <c r="J462" s="7">
        <f t="shared" si="77"/>
        <v>5</v>
      </c>
      <c r="K462" s="9">
        <f t="shared" si="78"/>
        <v>60000</v>
      </c>
      <c r="L462" s="7">
        <v>1</v>
      </c>
      <c r="M462" s="9">
        <f t="shared" si="79"/>
        <v>60000</v>
      </c>
      <c r="N462" s="9">
        <f t="shared" si="80"/>
        <v>39000</v>
      </c>
      <c r="O462" s="7" t="s">
        <v>1007</v>
      </c>
      <c r="P462" s="10">
        <f t="shared" si="81"/>
        <v>0</v>
      </c>
      <c r="Q462" s="9">
        <f t="shared" si="82"/>
        <v>0</v>
      </c>
      <c r="R462" s="9">
        <f t="shared" si="83"/>
        <v>5000</v>
      </c>
      <c r="S462" s="9" t="str">
        <f t="shared" si="84"/>
        <v>Loss</v>
      </c>
      <c r="T462" s="7" t="str">
        <f t="shared" si="85"/>
        <v>Jan</v>
      </c>
      <c r="U462" s="7">
        <f t="shared" si="86"/>
        <v>2025</v>
      </c>
      <c r="V462" s="7" t="str">
        <f t="shared" si="87"/>
        <v>15-20</v>
      </c>
    </row>
    <row r="463" spans="1:22" x14ac:dyDescent="0.3">
      <c r="A463" s="7" t="s">
        <v>480</v>
      </c>
      <c r="B463" s="8" t="s">
        <v>1484</v>
      </c>
      <c r="C463" s="8">
        <v>50</v>
      </c>
      <c r="D463" s="8" t="s">
        <v>720</v>
      </c>
      <c r="E463" s="8" t="s">
        <v>726</v>
      </c>
      <c r="F463" s="7" t="s">
        <v>1726</v>
      </c>
      <c r="G463" s="7" t="s">
        <v>816</v>
      </c>
      <c r="H463" s="7" t="s">
        <v>800</v>
      </c>
      <c r="I463" s="7" t="s">
        <v>952</v>
      </c>
      <c r="J463" s="7">
        <f t="shared" si="77"/>
        <v>4</v>
      </c>
      <c r="K463" s="9">
        <f t="shared" si="78"/>
        <v>18000</v>
      </c>
      <c r="L463" s="7">
        <v>3</v>
      </c>
      <c r="M463" s="9">
        <f t="shared" si="79"/>
        <v>54000</v>
      </c>
      <c r="N463" s="9">
        <f t="shared" si="80"/>
        <v>27000</v>
      </c>
      <c r="O463" s="7" t="s">
        <v>1007</v>
      </c>
      <c r="P463" s="10">
        <f t="shared" si="81"/>
        <v>0</v>
      </c>
      <c r="Q463" s="9">
        <f t="shared" si="82"/>
        <v>0</v>
      </c>
      <c r="R463" s="9">
        <f t="shared" si="83"/>
        <v>5000</v>
      </c>
      <c r="S463" s="9" t="str">
        <f t="shared" si="84"/>
        <v>Loss</v>
      </c>
      <c r="T463" s="7" t="str">
        <f t="shared" si="85"/>
        <v>May</v>
      </c>
      <c r="U463" s="7">
        <f t="shared" si="86"/>
        <v>2025</v>
      </c>
      <c r="V463" s="7" t="str">
        <f t="shared" si="87"/>
        <v>50-55</v>
      </c>
    </row>
    <row r="464" spans="1:22" x14ac:dyDescent="0.3">
      <c r="A464" s="7" t="s">
        <v>481</v>
      </c>
      <c r="B464" s="8" t="s">
        <v>1485</v>
      </c>
      <c r="C464" s="8">
        <v>24</v>
      </c>
      <c r="D464" s="8" t="s">
        <v>721</v>
      </c>
      <c r="E464" s="8" t="s">
        <v>723</v>
      </c>
      <c r="F464" s="7" t="s">
        <v>1730</v>
      </c>
      <c r="G464" s="7" t="s">
        <v>838</v>
      </c>
      <c r="H464" s="7" t="s">
        <v>971</v>
      </c>
      <c r="I464" s="7" t="s">
        <v>967</v>
      </c>
      <c r="J464" s="7">
        <f t="shared" si="77"/>
        <v>7</v>
      </c>
      <c r="K464" s="9">
        <f t="shared" si="78"/>
        <v>70000</v>
      </c>
      <c r="L464" s="7">
        <v>4</v>
      </c>
      <c r="M464" s="9">
        <f t="shared" si="79"/>
        <v>280000</v>
      </c>
      <c r="N464" s="9">
        <f t="shared" si="80"/>
        <v>168000</v>
      </c>
      <c r="O464" s="7" t="s">
        <v>1007</v>
      </c>
      <c r="P464" s="10">
        <f t="shared" si="81"/>
        <v>0</v>
      </c>
      <c r="Q464" s="9">
        <f t="shared" si="82"/>
        <v>0</v>
      </c>
      <c r="R464" s="9">
        <f t="shared" si="83"/>
        <v>5000</v>
      </c>
      <c r="S464" s="9" t="str">
        <f t="shared" si="84"/>
        <v>Loss</v>
      </c>
      <c r="T464" s="7" t="str">
        <f t="shared" si="85"/>
        <v>Aug</v>
      </c>
      <c r="U464" s="7">
        <f t="shared" si="86"/>
        <v>2025</v>
      </c>
      <c r="V464" s="7" t="str">
        <f t="shared" si="87"/>
        <v>20-25</v>
      </c>
    </row>
    <row r="465" spans="1:22" x14ac:dyDescent="0.3">
      <c r="A465" s="7" t="s">
        <v>482</v>
      </c>
      <c r="B465" s="8" t="s">
        <v>1486</v>
      </c>
      <c r="C465" s="8">
        <v>30</v>
      </c>
      <c r="D465" s="8" t="s">
        <v>720</v>
      </c>
      <c r="E465" s="8" t="s">
        <v>723</v>
      </c>
      <c r="F465" s="7" t="s">
        <v>735</v>
      </c>
      <c r="G465" s="7" t="s">
        <v>837</v>
      </c>
      <c r="H465" s="7" t="s">
        <v>781</v>
      </c>
      <c r="I465" s="7" t="s">
        <v>992</v>
      </c>
      <c r="J465" s="7">
        <f t="shared" si="77"/>
        <v>7</v>
      </c>
      <c r="K465" s="9">
        <f t="shared" si="78"/>
        <v>70000</v>
      </c>
      <c r="L465" s="7">
        <v>3</v>
      </c>
      <c r="M465" s="9">
        <f t="shared" si="79"/>
        <v>210000</v>
      </c>
      <c r="N465" s="9">
        <f t="shared" si="80"/>
        <v>126000</v>
      </c>
      <c r="O465" s="7" t="s">
        <v>1007</v>
      </c>
      <c r="P465" s="10">
        <f t="shared" si="81"/>
        <v>0</v>
      </c>
      <c r="Q465" s="9">
        <f t="shared" si="82"/>
        <v>0</v>
      </c>
      <c r="R465" s="9">
        <f t="shared" si="83"/>
        <v>5000</v>
      </c>
      <c r="S465" s="9" t="str">
        <f t="shared" si="84"/>
        <v>Loss</v>
      </c>
      <c r="T465" s="7" t="str">
        <f t="shared" si="85"/>
        <v>Jan</v>
      </c>
      <c r="U465" s="7">
        <f t="shared" si="86"/>
        <v>2025</v>
      </c>
      <c r="V465" s="7" t="str">
        <f t="shared" si="87"/>
        <v>30-35</v>
      </c>
    </row>
    <row r="466" spans="1:22" x14ac:dyDescent="0.3">
      <c r="A466" s="7" t="s">
        <v>483</v>
      </c>
      <c r="B466" s="8" t="s">
        <v>1487</v>
      </c>
      <c r="C466" s="8">
        <v>26</v>
      </c>
      <c r="D466" s="8" t="s">
        <v>720</v>
      </c>
      <c r="E466" s="8" t="s">
        <v>725</v>
      </c>
      <c r="F466" s="7" t="s">
        <v>731</v>
      </c>
      <c r="G466" s="7" t="s">
        <v>924</v>
      </c>
      <c r="H466" s="7" t="s">
        <v>780</v>
      </c>
      <c r="I466" s="7" t="s">
        <v>864</v>
      </c>
      <c r="J466" s="7">
        <f t="shared" si="77"/>
        <v>8</v>
      </c>
      <c r="K466" s="9">
        <f t="shared" si="78"/>
        <v>80000</v>
      </c>
      <c r="L466" s="7">
        <v>2</v>
      </c>
      <c r="M466" s="9">
        <f t="shared" si="79"/>
        <v>160000</v>
      </c>
      <c r="N466" s="9">
        <f t="shared" si="80"/>
        <v>96000</v>
      </c>
      <c r="O466" s="7" t="s">
        <v>1006</v>
      </c>
      <c r="P466" s="10">
        <f t="shared" si="81"/>
        <v>0.12</v>
      </c>
      <c r="Q466" s="9">
        <f t="shared" si="82"/>
        <v>19200</v>
      </c>
      <c r="R466" s="9">
        <f t="shared" si="83"/>
        <v>140800</v>
      </c>
      <c r="S466" s="9" t="str">
        <f t="shared" si="84"/>
        <v>Profit</v>
      </c>
      <c r="T466" s="7" t="str">
        <f t="shared" si="85"/>
        <v>Jun</v>
      </c>
      <c r="U466" s="7">
        <f t="shared" si="86"/>
        <v>2025</v>
      </c>
      <c r="V466" s="7" t="str">
        <f t="shared" si="87"/>
        <v>25-30</v>
      </c>
    </row>
    <row r="467" spans="1:22" x14ac:dyDescent="0.3">
      <c r="A467" s="7" t="s">
        <v>484</v>
      </c>
      <c r="B467" s="8" t="s">
        <v>1488</v>
      </c>
      <c r="C467" s="8">
        <v>28</v>
      </c>
      <c r="D467" s="8" t="s">
        <v>721</v>
      </c>
      <c r="E467" s="8" t="s">
        <v>725</v>
      </c>
      <c r="F467" s="7" t="s">
        <v>729</v>
      </c>
      <c r="G467" s="7" t="s">
        <v>754</v>
      </c>
      <c r="H467" s="7" t="s">
        <v>892</v>
      </c>
      <c r="I467" s="7" t="s">
        <v>868</v>
      </c>
      <c r="J467" s="7">
        <f t="shared" si="77"/>
        <v>8</v>
      </c>
      <c r="K467" s="9">
        <f t="shared" si="78"/>
        <v>80000</v>
      </c>
      <c r="L467" s="7">
        <v>2</v>
      </c>
      <c r="M467" s="9">
        <f t="shared" si="79"/>
        <v>160000</v>
      </c>
      <c r="N467" s="9">
        <f t="shared" si="80"/>
        <v>96000</v>
      </c>
      <c r="O467" s="7" t="s">
        <v>1007</v>
      </c>
      <c r="P467" s="10">
        <f t="shared" si="81"/>
        <v>0</v>
      </c>
      <c r="Q467" s="9">
        <f t="shared" si="82"/>
        <v>0</v>
      </c>
      <c r="R467" s="9">
        <f t="shared" si="83"/>
        <v>5000</v>
      </c>
      <c r="S467" s="9" t="str">
        <f t="shared" si="84"/>
        <v>Loss</v>
      </c>
      <c r="T467" s="7" t="str">
        <f t="shared" si="85"/>
        <v>Mar</v>
      </c>
      <c r="U467" s="7">
        <f t="shared" si="86"/>
        <v>2025</v>
      </c>
      <c r="V467" s="7" t="str">
        <f t="shared" si="87"/>
        <v>25-30</v>
      </c>
    </row>
    <row r="468" spans="1:22" x14ac:dyDescent="0.3">
      <c r="A468" s="7" t="s">
        <v>485</v>
      </c>
      <c r="B468" s="8" t="s">
        <v>1489</v>
      </c>
      <c r="C468" s="8">
        <v>50</v>
      </c>
      <c r="D468" s="8" t="s">
        <v>721</v>
      </c>
      <c r="E468" s="8" t="s">
        <v>722</v>
      </c>
      <c r="F468" s="7" t="s">
        <v>733</v>
      </c>
      <c r="G468" s="7" t="s">
        <v>796</v>
      </c>
      <c r="H468" s="7" t="s">
        <v>918</v>
      </c>
      <c r="I468" s="7" t="s">
        <v>920</v>
      </c>
      <c r="J468" s="7">
        <f t="shared" si="77"/>
        <v>5</v>
      </c>
      <c r="K468" s="9">
        <f t="shared" si="78"/>
        <v>60000</v>
      </c>
      <c r="L468" s="7">
        <v>3</v>
      </c>
      <c r="M468" s="9">
        <f t="shared" si="79"/>
        <v>180000</v>
      </c>
      <c r="N468" s="9">
        <f t="shared" si="80"/>
        <v>117000</v>
      </c>
      <c r="O468" s="7" t="s">
        <v>1006</v>
      </c>
      <c r="P468" s="10">
        <f t="shared" si="81"/>
        <v>0.1</v>
      </c>
      <c r="Q468" s="9">
        <f t="shared" si="82"/>
        <v>18000</v>
      </c>
      <c r="R468" s="9">
        <f t="shared" si="83"/>
        <v>162000</v>
      </c>
      <c r="S468" s="9" t="str">
        <f t="shared" si="84"/>
        <v>Profit</v>
      </c>
      <c r="T468" s="7" t="str">
        <f t="shared" si="85"/>
        <v>Jul</v>
      </c>
      <c r="U468" s="7">
        <f t="shared" si="86"/>
        <v>2025</v>
      </c>
      <c r="V468" s="7" t="str">
        <f t="shared" si="87"/>
        <v>50-55</v>
      </c>
    </row>
    <row r="469" spans="1:22" x14ac:dyDescent="0.3">
      <c r="A469" s="7" t="s">
        <v>486</v>
      </c>
      <c r="B469" s="8" t="s">
        <v>1490</v>
      </c>
      <c r="C469" s="8">
        <v>58</v>
      </c>
      <c r="D469" s="8" t="s">
        <v>720</v>
      </c>
      <c r="E469" s="8" t="s">
        <v>726</v>
      </c>
      <c r="F469" s="7" t="s">
        <v>732</v>
      </c>
      <c r="G469" s="7" t="s">
        <v>840</v>
      </c>
      <c r="H469" s="7" t="s">
        <v>979</v>
      </c>
      <c r="I469" s="7" t="s">
        <v>978</v>
      </c>
      <c r="J469" s="7">
        <f t="shared" si="77"/>
        <v>4</v>
      </c>
      <c r="K469" s="9">
        <f t="shared" si="78"/>
        <v>18000</v>
      </c>
      <c r="L469" s="7">
        <v>4</v>
      </c>
      <c r="M469" s="9">
        <f t="shared" si="79"/>
        <v>72000</v>
      </c>
      <c r="N469" s="9">
        <f t="shared" si="80"/>
        <v>36000</v>
      </c>
      <c r="O469" s="7" t="s">
        <v>1007</v>
      </c>
      <c r="P469" s="10">
        <f t="shared" si="81"/>
        <v>0</v>
      </c>
      <c r="Q469" s="9">
        <f t="shared" si="82"/>
        <v>0</v>
      </c>
      <c r="R469" s="9">
        <f t="shared" si="83"/>
        <v>5000</v>
      </c>
      <c r="S469" s="9" t="str">
        <f t="shared" si="84"/>
        <v>Loss</v>
      </c>
      <c r="T469" s="7" t="str">
        <f t="shared" si="85"/>
        <v>May</v>
      </c>
      <c r="U469" s="7">
        <f t="shared" si="86"/>
        <v>2025</v>
      </c>
      <c r="V469" s="7" t="str">
        <f t="shared" si="87"/>
        <v>55-60</v>
      </c>
    </row>
    <row r="470" spans="1:22" x14ac:dyDescent="0.3">
      <c r="A470" s="7" t="s">
        <v>487</v>
      </c>
      <c r="B470" s="8" t="s">
        <v>1491</v>
      </c>
      <c r="C470" s="8">
        <v>32</v>
      </c>
      <c r="D470" s="8" t="s">
        <v>720</v>
      </c>
      <c r="E470" s="8" t="s">
        <v>725</v>
      </c>
      <c r="F470" s="7" t="s">
        <v>729</v>
      </c>
      <c r="G470" s="7" t="s">
        <v>765</v>
      </c>
      <c r="H470" s="7" t="s">
        <v>843</v>
      </c>
      <c r="I470" s="7" t="s">
        <v>914</v>
      </c>
      <c r="J470" s="7">
        <f t="shared" si="77"/>
        <v>8</v>
      </c>
      <c r="K470" s="9">
        <f t="shared" si="78"/>
        <v>80000</v>
      </c>
      <c r="L470" s="7">
        <v>2</v>
      </c>
      <c r="M470" s="9">
        <f t="shared" si="79"/>
        <v>160000</v>
      </c>
      <c r="N470" s="9">
        <f t="shared" si="80"/>
        <v>96000</v>
      </c>
      <c r="O470" s="7" t="s">
        <v>1006</v>
      </c>
      <c r="P470" s="10">
        <f t="shared" si="81"/>
        <v>0.12</v>
      </c>
      <c r="Q470" s="9">
        <f t="shared" si="82"/>
        <v>19200</v>
      </c>
      <c r="R470" s="9">
        <f t="shared" si="83"/>
        <v>140800</v>
      </c>
      <c r="S470" s="9" t="str">
        <f t="shared" si="84"/>
        <v>Profit</v>
      </c>
      <c r="T470" s="7" t="str">
        <f t="shared" si="85"/>
        <v>Jun</v>
      </c>
      <c r="U470" s="7">
        <f t="shared" si="86"/>
        <v>2025</v>
      </c>
      <c r="V470" s="7" t="str">
        <f t="shared" si="87"/>
        <v>30-35</v>
      </c>
    </row>
    <row r="471" spans="1:22" x14ac:dyDescent="0.3">
      <c r="A471" s="7" t="s">
        <v>488</v>
      </c>
      <c r="B471" s="8" t="s">
        <v>1492</v>
      </c>
      <c r="C471" s="8">
        <v>45</v>
      </c>
      <c r="D471" s="8" t="s">
        <v>720</v>
      </c>
      <c r="E471" s="8" t="s">
        <v>722</v>
      </c>
      <c r="F471" s="7" t="s">
        <v>734</v>
      </c>
      <c r="G471" s="7" t="s">
        <v>934</v>
      </c>
      <c r="H471" s="7" t="s">
        <v>897</v>
      </c>
      <c r="I471" s="7" t="s">
        <v>874</v>
      </c>
      <c r="J471" s="7">
        <f t="shared" si="77"/>
        <v>5</v>
      </c>
      <c r="K471" s="9">
        <f t="shared" si="78"/>
        <v>60000</v>
      </c>
      <c r="L471" s="7">
        <v>1</v>
      </c>
      <c r="M471" s="9">
        <f t="shared" si="79"/>
        <v>60000</v>
      </c>
      <c r="N471" s="9">
        <f t="shared" si="80"/>
        <v>39000</v>
      </c>
      <c r="O471" s="7" t="s">
        <v>1006</v>
      </c>
      <c r="P471" s="10">
        <f t="shared" si="81"/>
        <v>0.1</v>
      </c>
      <c r="Q471" s="9">
        <f t="shared" si="82"/>
        <v>6000</v>
      </c>
      <c r="R471" s="9">
        <f t="shared" si="83"/>
        <v>54000</v>
      </c>
      <c r="S471" s="9" t="str">
        <f t="shared" si="84"/>
        <v>Profit</v>
      </c>
      <c r="T471" s="7" t="str">
        <f t="shared" si="85"/>
        <v>Jan</v>
      </c>
      <c r="U471" s="7">
        <f t="shared" si="86"/>
        <v>2025</v>
      </c>
      <c r="V471" s="7" t="str">
        <f t="shared" si="87"/>
        <v>45-50</v>
      </c>
    </row>
    <row r="472" spans="1:22" x14ac:dyDescent="0.3">
      <c r="A472" s="7" t="s">
        <v>489</v>
      </c>
      <c r="B472" s="8" t="s">
        <v>1493</v>
      </c>
      <c r="C472" s="8">
        <v>25</v>
      </c>
      <c r="D472" s="8" t="s">
        <v>721</v>
      </c>
      <c r="E472" s="8" t="s">
        <v>725</v>
      </c>
      <c r="F472" s="7" t="s">
        <v>735</v>
      </c>
      <c r="G472" s="7" t="s">
        <v>923</v>
      </c>
      <c r="H472" s="7" t="s">
        <v>986</v>
      </c>
      <c r="I472" s="7" t="s">
        <v>806</v>
      </c>
      <c r="J472" s="7">
        <f t="shared" si="77"/>
        <v>8</v>
      </c>
      <c r="K472" s="9">
        <f t="shared" si="78"/>
        <v>80000</v>
      </c>
      <c r="L472" s="7">
        <v>2</v>
      </c>
      <c r="M472" s="9">
        <f t="shared" si="79"/>
        <v>160000</v>
      </c>
      <c r="N472" s="9">
        <f t="shared" si="80"/>
        <v>96000</v>
      </c>
      <c r="O472" s="7" t="s">
        <v>1007</v>
      </c>
      <c r="P472" s="10">
        <f t="shared" si="81"/>
        <v>0</v>
      </c>
      <c r="Q472" s="9">
        <f t="shared" si="82"/>
        <v>0</v>
      </c>
      <c r="R472" s="9">
        <f t="shared" si="83"/>
        <v>5000</v>
      </c>
      <c r="S472" s="9" t="str">
        <f t="shared" si="84"/>
        <v>Loss</v>
      </c>
      <c r="T472" s="7" t="str">
        <f t="shared" si="85"/>
        <v>Jan</v>
      </c>
      <c r="U472" s="7">
        <f t="shared" si="86"/>
        <v>2025</v>
      </c>
      <c r="V472" s="7" t="str">
        <f t="shared" si="87"/>
        <v>25-30</v>
      </c>
    </row>
    <row r="473" spans="1:22" x14ac:dyDescent="0.3">
      <c r="A473" s="7" t="s">
        <v>490</v>
      </c>
      <c r="B473" s="8" t="s">
        <v>1494</v>
      </c>
      <c r="C473" s="8">
        <v>46</v>
      </c>
      <c r="D473" s="8" t="s">
        <v>720</v>
      </c>
      <c r="E473" s="8" t="s">
        <v>724</v>
      </c>
      <c r="F473" s="7" t="s">
        <v>727</v>
      </c>
      <c r="G473" s="7" t="s">
        <v>935</v>
      </c>
      <c r="H473" s="7" t="s">
        <v>854</v>
      </c>
      <c r="I473" s="7" t="s">
        <v>742</v>
      </c>
      <c r="J473" s="7">
        <f t="shared" si="77"/>
        <v>10</v>
      </c>
      <c r="K473" s="9">
        <f t="shared" si="78"/>
        <v>120000</v>
      </c>
      <c r="L473" s="7">
        <v>3</v>
      </c>
      <c r="M473" s="9">
        <f t="shared" si="79"/>
        <v>360000</v>
      </c>
      <c r="N473" s="9">
        <f t="shared" si="80"/>
        <v>234000</v>
      </c>
      <c r="O473" s="7" t="s">
        <v>1006</v>
      </c>
      <c r="P473" s="10">
        <f t="shared" si="81"/>
        <v>0.15</v>
      </c>
      <c r="Q473" s="9">
        <f t="shared" si="82"/>
        <v>54000</v>
      </c>
      <c r="R473" s="9">
        <f t="shared" si="83"/>
        <v>306000</v>
      </c>
      <c r="S473" s="9" t="str">
        <f t="shared" si="84"/>
        <v>Profit</v>
      </c>
      <c r="T473" s="7" t="str">
        <f t="shared" si="85"/>
        <v>Apr</v>
      </c>
      <c r="U473" s="7">
        <f t="shared" si="86"/>
        <v>2025</v>
      </c>
      <c r="V473" s="7" t="str">
        <f t="shared" si="87"/>
        <v>45-50</v>
      </c>
    </row>
    <row r="474" spans="1:22" x14ac:dyDescent="0.3">
      <c r="A474" s="7" t="s">
        <v>491</v>
      </c>
      <c r="B474" s="8" t="s">
        <v>1495</v>
      </c>
      <c r="C474" s="8">
        <v>42</v>
      </c>
      <c r="D474" s="8" t="s">
        <v>720</v>
      </c>
      <c r="E474" s="8" t="s">
        <v>722</v>
      </c>
      <c r="F474" s="7" t="s">
        <v>734</v>
      </c>
      <c r="G474" s="7" t="s">
        <v>776</v>
      </c>
      <c r="H474" s="7" t="s">
        <v>783</v>
      </c>
      <c r="I474" s="7" t="s">
        <v>964</v>
      </c>
      <c r="J474" s="7">
        <f t="shared" si="77"/>
        <v>5</v>
      </c>
      <c r="K474" s="9">
        <f t="shared" si="78"/>
        <v>60000</v>
      </c>
      <c r="L474" s="7">
        <v>2</v>
      </c>
      <c r="M474" s="9">
        <f t="shared" si="79"/>
        <v>120000</v>
      </c>
      <c r="N474" s="9">
        <f t="shared" si="80"/>
        <v>78000</v>
      </c>
      <c r="O474" s="7" t="s">
        <v>1006</v>
      </c>
      <c r="P474" s="10">
        <f t="shared" si="81"/>
        <v>0.1</v>
      </c>
      <c r="Q474" s="9">
        <f t="shared" si="82"/>
        <v>12000</v>
      </c>
      <c r="R474" s="9">
        <f t="shared" si="83"/>
        <v>108000</v>
      </c>
      <c r="S474" s="9" t="str">
        <f t="shared" si="84"/>
        <v>Profit</v>
      </c>
      <c r="T474" s="7" t="str">
        <f t="shared" si="85"/>
        <v>May</v>
      </c>
      <c r="U474" s="7">
        <f t="shared" si="86"/>
        <v>2025</v>
      </c>
      <c r="V474" s="7" t="str">
        <f t="shared" si="87"/>
        <v>40-45</v>
      </c>
    </row>
    <row r="475" spans="1:22" x14ac:dyDescent="0.3">
      <c r="A475" s="7" t="s">
        <v>492</v>
      </c>
      <c r="B475" s="8" t="s">
        <v>1496</v>
      </c>
      <c r="C475" s="8">
        <v>30</v>
      </c>
      <c r="D475" s="8" t="s">
        <v>721</v>
      </c>
      <c r="E475" s="8" t="s">
        <v>725</v>
      </c>
      <c r="F475" s="7" t="s">
        <v>1730</v>
      </c>
      <c r="G475" s="7" t="s">
        <v>932</v>
      </c>
      <c r="H475" s="7" t="s">
        <v>799</v>
      </c>
      <c r="I475" s="7" t="s">
        <v>938</v>
      </c>
      <c r="J475" s="7">
        <f t="shared" si="77"/>
        <v>8</v>
      </c>
      <c r="K475" s="9">
        <f t="shared" si="78"/>
        <v>80000</v>
      </c>
      <c r="L475" s="7">
        <v>4</v>
      </c>
      <c r="M475" s="9">
        <f t="shared" si="79"/>
        <v>320000</v>
      </c>
      <c r="N475" s="9">
        <f t="shared" si="80"/>
        <v>192000</v>
      </c>
      <c r="O475" s="7" t="s">
        <v>1007</v>
      </c>
      <c r="P475" s="10">
        <f t="shared" si="81"/>
        <v>0</v>
      </c>
      <c r="Q475" s="9">
        <f t="shared" si="82"/>
        <v>0</v>
      </c>
      <c r="R475" s="9">
        <f t="shared" si="83"/>
        <v>5000</v>
      </c>
      <c r="S475" s="9" t="str">
        <f t="shared" si="84"/>
        <v>Loss</v>
      </c>
      <c r="T475" s="7" t="str">
        <f t="shared" si="85"/>
        <v>Jan</v>
      </c>
      <c r="U475" s="7">
        <f t="shared" si="86"/>
        <v>2025</v>
      </c>
      <c r="V475" s="7" t="str">
        <f t="shared" si="87"/>
        <v>30-35</v>
      </c>
    </row>
    <row r="476" spans="1:22" x14ac:dyDescent="0.3">
      <c r="A476" s="7" t="s">
        <v>493</v>
      </c>
      <c r="B476" s="8" t="s">
        <v>1497</v>
      </c>
      <c r="C476" s="8">
        <v>41</v>
      </c>
      <c r="D476" s="8" t="s">
        <v>721</v>
      </c>
      <c r="E476" s="8" t="s">
        <v>724</v>
      </c>
      <c r="F476" s="7" t="s">
        <v>1736</v>
      </c>
      <c r="G476" s="7" t="s">
        <v>890</v>
      </c>
      <c r="H476" s="7" t="s">
        <v>962</v>
      </c>
      <c r="I476" s="7" t="s">
        <v>784</v>
      </c>
      <c r="J476" s="7">
        <f t="shared" si="77"/>
        <v>10</v>
      </c>
      <c r="K476" s="9">
        <f t="shared" si="78"/>
        <v>120000</v>
      </c>
      <c r="L476" s="7">
        <v>1</v>
      </c>
      <c r="M476" s="9">
        <f t="shared" si="79"/>
        <v>120000</v>
      </c>
      <c r="N476" s="9">
        <f t="shared" si="80"/>
        <v>78000</v>
      </c>
      <c r="O476" s="7" t="s">
        <v>1006</v>
      </c>
      <c r="P476" s="10">
        <f t="shared" si="81"/>
        <v>0.15</v>
      </c>
      <c r="Q476" s="9">
        <f t="shared" si="82"/>
        <v>18000</v>
      </c>
      <c r="R476" s="9">
        <f t="shared" si="83"/>
        <v>102000</v>
      </c>
      <c r="S476" s="9" t="str">
        <f t="shared" si="84"/>
        <v>Profit</v>
      </c>
      <c r="T476" s="7" t="str">
        <f t="shared" si="85"/>
        <v>May</v>
      </c>
      <c r="U476" s="7">
        <f t="shared" si="86"/>
        <v>2025</v>
      </c>
      <c r="V476" s="7" t="str">
        <f t="shared" si="87"/>
        <v>40-45</v>
      </c>
    </row>
    <row r="477" spans="1:22" x14ac:dyDescent="0.3">
      <c r="A477" s="7" t="s">
        <v>494</v>
      </c>
      <c r="B477" s="8" t="s">
        <v>1498</v>
      </c>
      <c r="C477" s="8">
        <v>29</v>
      </c>
      <c r="D477" s="8" t="s">
        <v>720</v>
      </c>
      <c r="E477" s="8" t="s">
        <v>725</v>
      </c>
      <c r="F477" s="7" t="s">
        <v>735</v>
      </c>
      <c r="G477" s="7" t="s">
        <v>759</v>
      </c>
      <c r="H477" s="7" t="s">
        <v>919</v>
      </c>
      <c r="I477" s="7" t="s">
        <v>792</v>
      </c>
      <c r="J477" s="7">
        <f t="shared" si="77"/>
        <v>8</v>
      </c>
      <c r="K477" s="9">
        <f t="shared" si="78"/>
        <v>80000</v>
      </c>
      <c r="L477" s="7">
        <v>2</v>
      </c>
      <c r="M477" s="9">
        <f t="shared" si="79"/>
        <v>160000</v>
      </c>
      <c r="N477" s="9">
        <f t="shared" si="80"/>
        <v>96000</v>
      </c>
      <c r="O477" s="7" t="s">
        <v>1007</v>
      </c>
      <c r="P477" s="10">
        <f t="shared" si="81"/>
        <v>0</v>
      </c>
      <c r="Q477" s="9">
        <f t="shared" si="82"/>
        <v>0</v>
      </c>
      <c r="R477" s="9">
        <f t="shared" si="83"/>
        <v>5000</v>
      </c>
      <c r="S477" s="9" t="str">
        <f t="shared" si="84"/>
        <v>Loss</v>
      </c>
      <c r="T477" s="7" t="str">
        <f t="shared" si="85"/>
        <v>Jul</v>
      </c>
      <c r="U477" s="7">
        <f t="shared" si="86"/>
        <v>2025</v>
      </c>
      <c r="V477" s="7" t="str">
        <f t="shared" si="87"/>
        <v>25-30</v>
      </c>
    </row>
    <row r="478" spans="1:22" x14ac:dyDescent="0.3">
      <c r="A478" s="7" t="s">
        <v>495</v>
      </c>
      <c r="B478" s="8" t="s">
        <v>1499</v>
      </c>
      <c r="C478" s="8">
        <v>28</v>
      </c>
      <c r="D478" s="8" t="s">
        <v>720</v>
      </c>
      <c r="E478" s="8" t="s">
        <v>725</v>
      </c>
      <c r="F478" s="7" t="s">
        <v>731</v>
      </c>
      <c r="G478" s="7" t="s">
        <v>845</v>
      </c>
      <c r="H478" s="7" t="s">
        <v>935</v>
      </c>
      <c r="I478" s="7" t="s">
        <v>953</v>
      </c>
      <c r="J478" s="7">
        <f t="shared" si="77"/>
        <v>8</v>
      </c>
      <c r="K478" s="9">
        <f t="shared" si="78"/>
        <v>80000</v>
      </c>
      <c r="L478" s="7">
        <v>2</v>
      </c>
      <c r="M478" s="9">
        <f t="shared" si="79"/>
        <v>160000</v>
      </c>
      <c r="N478" s="9">
        <f t="shared" si="80"/>
        <v>96000</v>
      </c>
      <c r="O478" s="7" t="s">
        <v>1007</v>
      </c>
      <c r="P478" s="10">
        <f t="shared" si="81"/>
        <v>0</v>
      </c>
      <c r="Q478" s="9">
        <f t="shared" si="82"/>
        <v>0</v>
      </c>
      <c r="R478" s="9">
        <f t="shared" si="83"/>
        <v>5000</v>
      </c>
      <c r="S478" s="9" t="str">
        <f t="shared" si="84"/>
        <v>Loss</v>
      </c>
      <c r="T478" s="7" t="str">
        <f t="shared" si="85"/>
        <v>Apr</v>
      </c>
      <c r="U478" s="7">
        <f t="shared" si="86"/>
        <v>2025</v>
      </c>
      <c r="V478" s="7" t="str">
        <f t="shared" si="87"/>
        <v>25-30</v>
      </c>
    </row>
    <row r="479" spans="1:22" x14ac:dyDescent="0.3">
      <c r="A479" s="7" t="s">
        <v>496</v>
      </c>
      <c r="B479" s="8" t="s">
        <v>1500</v>
      </c>
      <c r="C479" s="8">
        <v>54</v>
      </c>
      <c r="D479" s="8" t="s">
        <v>720</v>
      </c>
      <c r="E479" s="8" t="s">
        <v>722</v>
      </c>
      <c r="F479" s="7" t="s">
        <v>727</v>
      </c>
      <c r="G479" s="7" t="s">
        <v>836</v>
      </c>
      <c r="H479" s="7" t="s">
        <v>905</v>
      </c>
      <c r="I479" s="7" t="s">
        <v>895</v>
      </c>
      <c r="J479" s="7">
        <f t="shared" si="77"/>
        <v>5</v>
      </c>
      <c r="K479" s="9">
        <f t="shared" si="78"/>
        <v>60000</v>
      </c>
      <c r="L479" s="7">
        <v>3</v>
      </c>
      <c r="M479" s="9">
        <f t="shared" si="79"/>
        <v>180000</v>
      </c>
      <c r="N479" s="9">
        <f t="shared" si="80"/>
        <v>117000</v>
      </c>
      <c r="O479" s="7" t="s">
        <v>1006</v>
      </c>
      <c r="P479" s="10">
        <f t="shared" si="81"/>
        <v>0.1</v>
      </c>
      <c r="Q479" s="9">
        <f t="shared" si="82"/>
        <v>18000</v>
      </c>
      <c r="R479" s="9">
        <f t="shared" si="83"/>
        <v>162000</v>
      </c>
      <c r="S479" s="9" t="str">
        <f t="shared" si="84"/>
        <v>Profit</v>
      </c>
      <c r="T479" s="7" t="str">
        <f t="shared" si="85"/>
        <v>Jul</v>
      </c>
      <c r="U479" s="7">
        <f t="shared" si="86"/>
        <v>2025</v>
      </c>
      <c r="V479" s="7" t="str">
        <f t="shared" si="87"/>
        <v>50-55</v>
      </c>
    </row>
    <row r="480" spans="1:22" x14ac:dyDescent="0.3">
      <c r="A480" s="7" t="s">
        <v>497</v>
      </c>
      <c r="B480" s="8" t="s">
        <v>1501</v>
      </c>
      <c r="C480" s="8">
        <v>55</v>
      </c>
      <c r="D480" s="8" t="s">
        <v>720</v>
      </c>
      <c r="E480" s="8" t="s">
        <v>724</v>
      </c>
      <c r="F480" s="7" t="s">
        <v>734</v>
      </c>
      <c r="G480" s="7" t="s">
        <v>781</v>
      </c>
      <c r="H480" s="7" t="s">
        <v>863</v>
      </c>
      <c r="I480" s="7" t="s">
        <v>825</v>
      </c>
      <c r="J480" s="7">
        <f t="shared" si="77"/>
        <v>10</v>
      </c>
      <c r="K480" s="9">
        <f t="shared" si="78"/>
        <v>120000</v>
      </c>
      <c r="L480" s="7">
        <v>4</v>
      </c>
      <c r="M480" s="9">
        <f t="shared" si="79"/>
        <v>480000</v>
      </c>
      <c r="N480" s="9">
        <f t="shared" si="80"/>
        <v>312000</v>
      </c>
      <c r="O480" s="7" t="s">
        <v>1007</v>
      </c>
      <c r="P480" s="10">
        <f t="shared" si="81"/>
        <v>0</v>
      </c>
      <c r="Q480" s="9">
        <f t="shared" si="82"/>
        <v>0</v>
      </c>
      <c r="R480" s="9">
        <f t="shared" si="83"/>
        <v>5000</v>
      </c>
      <c r="S480" s="9" t="str">
        <f t="shared" si="84"/>
        <v>Loss</v>
      </c>
      <c r="T480" s="7" t="str">
        <f t="shared" si="85"/>
        <v>Feb</v>
      </c>
      <c r="U480" s="7">
        <f t="shared" si="86"/>
        <v>2025</v>
      </c>
      <c r="V480" s="7" t="str">
        <f t="shared" si="87"/>
        <v>55-60</v>
      </c>
    </row>
    <row r="481" spans="1:22" x14ac:dyDescent="0.3">
      <c r="A481" s="7" t="s">
        <v>498</v>
      </c>
      <c r="B481" s="8" t="s">
        <v>1502</v>
      </c>
      <c r="C481" s="8">
        <v>27</v>
      </c>
      <c r="D481" s="8" t="s">
        <v>721</v>
      </c>
      <c r="E481" s="8" t="s">
        <v>723</v>
      </c>
      <c r="F481" s="7" t="s">
        <v>728</v>
      </c>
      <c r="G481" s="7" t="s">
        <v>831</v>
      </c>
      <c r="H481" s="7" t="s">
        <v>874</v>
      </c>
      <c r="I481" s="7" t="s">
        <v>936</v>
      </c>
      <c r="J481" s="7">
        <f t="shared" si="77"/>
        <v>7</v>
      </c>
      <c r="K481" s="9">
        <f t="shared" si="78"/>
        <v>70000</v>
      </c>
      <c r="L481" s="7">
        <v>4</v>
      </c>
      <c r="M481" s="9">
        <f t="shared" si="79"/>
        <v>280000</v>
      </c>
      <c r="N481" s="9">
        <f t="shared" si="80"/>
        <v>168000</v>
      </c>
      <c r="O481" s="7" t="s">
        <v>1007</v>
      </c>
      <c r="P481" s="10">
        <f t="shared" si="81"/>
        <v>0</v>
      </c>
      <c r="Q481" s="9">
        <f t="shared" si="82"/>
        <v>0</v>
      </c>
      <c r="R481" s="9">
        <f t="shared" si="83"/>
        <v>5000</v>
      </c>
      <c r="S481" s="9" t="str">
        <f t="shared" si="84"/>
        <v>Loss</v>
      </c>
      <c r="T481" s="7" t="str">
        <f t="shared" si="85"/>
        <v>Feb</v>
      </c>
      <c r="U481" s="7">
        <f t="shared" si="86"/>
        <v>2025</v>
      </c>
      <c r="V481" s="7" t="str">
        <f t="shared" si="87"/>
        <v>25-30</v>
      </c>
    </row>
    <row r="482" spans="1:22" x14ac:dyDescent="0.3">
      <c r="A482" s="7" t="s">
        <v>499</v>
      </c>
      <c r="B482" s="8" t="s">
        <v>1503</v>
      </c>
      <c r="C482" s="8">
        <v>20</v>
      </c>
      <c r="D482" s="8" t="s">
        <v>721</v>
      </c>
      <c r="E482" s="8" t="s">
        <v>722</v>
      </c>
      <c r="F482" s="7" t="s">
        <v>733</v>
      </c>
      <c r="G482" s="7" t="s">
        <v>890</v>
      </c>
      <c r="H482" s="7" t="s">
        <v>750</v>
      </c>
      <c r="I482" s="7" t="s">
        <v>824</v>
      </c>
      <c r="J482" s="7">
        <f t="shared" si="77"/>
        <v>5</v>
      </c>
      <c r="K482" s="9">
        <f t="shared" si="78"/>
        <v>60000</v>
      </c>
      <c r="L482" s="7">
        <v>4</v>
      </c>
      <c r="M482" s="9">
        <f t="shared" si="79"/>
        <v>240000</v>
      </c>
      <c r="N482" s="9">
        <f t="shared" si="80"/>
        <v>156000</v>
      </c>
      <c r="O482" s="7" t="s">
        <v>1006</v>
      </c>
      <c r="P482" s="10">
        <f t="shared" si="81"/>
        <v>0.1</v>
      </c>
      <c r="Q482" s="9">
        <f t="shared" si="82"/>
        <v>24000</v>
      </c>
      <c r="R482" s="9">
        <f t="shared" si="83"/>
        <v>216000</v>
      </c>
      <c r="S482" s="9" t="str">
        <f t="shared" si="84"/>
        <v>Profit</v>
      </c>
      <c r="T482" s="7" t="str">
        <f t="shared" si="85"/>
        <v>May</v>
      </c>
      <c r="U482" s="7">
        <f t="shared" si="86"/>
        <v>2025</v>
      </c>
      <c r="V482" s="7" t="str">
        <f t="shared" si="87"/>
        <v>20-25</v>
      </c>
    </row>
    <row r="483" spans="1:22" x14ac:dyDescent="0.3">
      <c r="A483" s="7" t="s">
        <v>500</v>
      </c>
      <c r="B483" s="8" t="s">
        <v>1504</v>
      </c>
      <c r="C483" s="8">
        <v>44</v>
      </c>
      <c r="D483" s="8" t="s">
        <v>720</v>
      </c>
      <c r="E483" s="8" t="s">
        <v>724</v>
      </c>
      <c r="F483" s="7" t="s">
        <v>735</v>
      </c>
      <c r="G483" s="7" t="s">
        <v>856</v>
      </c>
      <c r="H483" s="7" t="s">
        <v>983</v>
      </c>
      <c r="I483" s="7" t="s">
        <v>886</v>
      </c>
      <c r="J483" s="7">
        <f t="shared" si="77"/>
        <v>10</v>
      </c>
      <c r="K483" s="9">
        <f t="shared" si="78"/>
        <v>120000</v>
      </c>
      <c r="L483" s="7">
        <v>4</v>
      </c>
      <c r="M483" s="9">
        <f t="shared" si="79"/>
        <v>480000</v>
      </c>
      <c r="N483" s="9">
        <f t="shared" si="80"/>
        <v>312000</v>
      </c>
      <c r="O483" s="7" t="s">
        <v>1006</v>
      </c>
      <c r="P483" s="10">
        <f t="shared" si="81"/>
        <v>0.15</v>
      </c>
      <c r="Q483" s="9">
        <f t="shared" si="82"/>
        <v>72000</v>
      </c>
      <c r="R483" s="9">
        <f t="shared" si="83"/>
        <v>408000</v>
      </c>
      <c r="S483" s="9" t="str">
        <f t="shared" si="84"/>
        <v>Profit</v>
      </c>
      <c r="T483" s="7" t="str">
        <f t="shared" si="85"/>
        <v>Mar</v>
      </c>
      <c r="U483" s="7">
        <f t="shared" si="86"/>
        <v>2025</v>
      </c>
      <c r="V483" s="7" t="str">
        <f t="shared" si="87"/>
        <v>40-45</v>
      </c>
    </row>
    <row r="484" spans="1:22" x14ac:dyDescent="0.3">
      <c r="A484" s="7" t="s">
        <v>501</v>
      </c>
      <c r="B484" s="8" t="s">
        <v>1505</v>
      </c>
      <c r="C484" s="8">
        <v>19</v>
      </c>
      <c r="D484" s="8" t="s">
        <v>721</v>
      </c>
      <c r="E484" s="8" t="s">
        <v>726</v>
      </c>
      <c r="F484" s="7" t="s">
        <v>728</v>
      </c>
      <c r="G484" s="7" t="s">
        <v>901</v>
      </c>
      <c r="H484" s="7" t="s">
        <v>974</v>
      </c>
      <c r="I484" s="7" t="s">
        <v>1005</v>
      </c>
      <c r="J484" s="7">
        <f t="shared" si="77"/>
        <v>4</v>
      </c>
      <c r="K484" s="9">
        <f t="shared" si="78"/>
        <v>18000</v>
      </c>
      <c r="L484" s="7">
        <v>4</v>
      </c>
      <c r="M484" s="9">
        <f t="shared" si="79"/>
        <v>72000</v>
      </c>
      <c r="N484" s="9">
        <f t="shared" si="80"/>
        <v>36000</v>
      </c>
      <c r="O484" s="7" t="s">
        <v>1007</v>
      </c>
      <c r="P484" s="10">
        <f t="shared" si="81"/>
        <v>0</v>
      </c>
      <c r="Q484" s="9">
        <f t="shared" si="82"/>
        <v>0</v>
      </c>
      <c r="R484" s="9">
        <f t="shared" si="83"/>
        <v>5000</v>
      </c>
      <c r="S484" s="9" t="str">
        <f t="shared" si="84"/>
        <v>Loss</v>
      </c>
      <c r="T484" s="7" t="str">
        <f t="shared" si="85"/>
        <v>Aug</v>
      </c>
      <c r="U484" s="7">
        <f t="shared" si="86"/>
        <v>2025</v>
      </c>
      <c r="V484" s="7" t="str">
        <f t="shared" si="87"/>
        <v>15-20</v>
      </c>
    </row>
    <row r="485" spans="1:22" x14ac:dyDescent="0.3">
      <c r="A485" s="7" t="s">
        <v>502</v>
      </c>
      <c r="B485" s="8" t="s">
        <v>1506</v>
      </c>
      <c r="C485" s="8">
        <v>58</v>
      </c>
      <c r="D485" s="8" t="s">
        <v>721</v>
      </c>
      <c r="E485" s="8" t="s">
        <v>726</v>
      </c>
      <c r="F485" s="7" t="s">
        <v>1725</v>
      </c>
      <c r="G485" s="7" t="s">
        <v>837</v>
      </c>
      <c r="H485" s="7" t="s">
        <v>938</v>
      </c>
      <c r="I485" s="7" t="s">
        <v>986</v>
      </c>
      <c r="J485" s="7">
        <f t="shared" si="77"/>
        <v>4</v>
      </c>
      <c r="K485" s="9">
        <f t="shared" si="78"/>
        <v>18000</v>
      </c>
      <c r="L485" s="7">
        <v>1</v>
      </c>
      <c r="M485" s="9">
        <f t="shared" si="79"/>
        <v>18000</v>
      </c>
      <c r="N485" s="9">
        <f t="shared" si="80"/>
        <v>9000</v>
      </c>
      <c r="O485" s="7" t="s">
        <v>1006</v>
      </c>
      <c r="P485" s="10">
        <f t="shared" si="81"/>
        <v>0.05</v>
      </c>
      <c r="Q485" s="9">
        <f t="shared" si="82"/>
        <v>900</v>
      </c>
      <c r="R485" s="9">
        <f t="shared" si="83"/>
        <v>17100</v>
      </c>
      <c r="S485" s="9" t="str">
        <f t="shared" si="84"/>
        <v>Profit</v>
      </c>
      <c r="T485" s="7" t="str">
        <f t="shared" si="85"/>
        <v>Jan</v>
      </c>
      <c r="U485" s="7">
        <f t="shared" si="86"/>
        <v>2025</v>
      </c>
      <c r="V485" s="7" t="str">
        <f t="shared" si="87"/>
        <v>55-60</v>
      </c>
    </row>
    <row r="486" spans="1:22" x14ac:dyDescent="0.3">
      <c r="A486" s="7" t="s">
        <v>503</v>
      </c>
      <c r="B486" s="8" t="s">
        <v>1507</v>
      </c>
      <c r="C486" s="8">
        <v>30</v>
      </c>
      <c r="D486" s="8" t="s">
        <v>721</v>
      </c>
      <c r="E486" s="8" t="s">
        <v>725</v>
      </c>
      <c r="F486" s="7" t="s">
        <v>729</v>
      </c>
      <c r="G486" s="7" t="s">
        <v>910</v>
      </c>
      <c r="H486" s="7" t="s">
        <v>945</v>
      </c>
      <c r="I486" s="7" t="s">
        <v>843</v>
      </c>
      <c r="J486" s="7">
        <f t="shared" si="77"/>
        <v>8</v>
      </c>
      <c r="K486" s="9">
        <f t="shared" si="78"/>
        <v>80000</v>
      </c>
      <c r="L486" s="7">
        <v>2</v>
      </c>
      <c r="M486" s="9">
        <f t="shared" si="79"/>
        <v>160000</v>
      </c>
      <c r="N486" s="9">
        <f t="shared" si="80"/>
        <v>96000</v>
      </c>
      <c r="O486" s="7" t="s">
        <v>1006</v>
      </c>
      <c r="P486" s="10">
        <f t="shared" si="81"/>
        <v>0.12</v>
      </c>
      <c r="Q486" s="9">
        <f t="shared" si="82"/>
        <v>19200</v>
      </c>
      <c r="R486" s="9">
        <f t="shared" si="83"/>
        <v>140800</v>
      </c>
      <c r="S486" s="9" t="str">
        <f t="shared" si="84"/>
        <v>Profit</v>
      </c>
      <c r="T486" s="7" t="str">
        <f t="shared" si="85"/>
        <v>Jun</v>
      </c>
      <c r="U486" s="7">
        <f t="shared" si="86"/>
        <v>2025</v>
      </c>
      <c r="V486" s="7" t="str">
        <f t="shared" si="87"/>
        <v>30-35</v>
      </c>
    </row>
    <row r="487" spans="1:22" x14ac:dyDescent="0.3">
      <c r="A487" s="7" t="s">
        <v>504</v>
      </c>
      <c r="B487" s="8" t="s">
        <v>1508</v>
      </c>
      <c r="C487" s="8">
        <v>50</v>
      </c>
      <c r="D487" s="8" t="s">
        <v>720</v>
      </c>
      <c r="E487" s="8" t="s">
        <v>723</v>
      </c>
      <c r="F487" s="7" t="s">
        <v>1730</v>
      </c>
      <c r="G487" s="7" t="s">
        <v>755</v>
      </c>
      <c r="H487" s="7" t="s">
        <v>801</v>
      </c>
      <c r="I487" s="7" t="s">
        <v>776</v>
      </c>
      <c r="J487" s="7">
        <f t="shared" si="77"/>
        <v>7</v>
      </c>
      <c r="K487" s="9">
        <f t="shared" si="78"/>
        <v>70000</v>
      </c>
      <c r="L487" s="7">
        <v>2</v>
      </c>
      <c r="M487" s="9">
        <f t="shared" si="79"/>
        <v>140000</v>
      </c>
      <c r="N487" s="9">
        <f t="shared" si="80"/>
        <v>84000</v>
      </c>
      <c r="O487" s="7" t="s">
        <v>1007</v>
      </c>
      <c r="P487" s="10">
        <f t="shared" si="81"/>
        <v>0</v>
      </c>
      <c r="Q487" s="9">
        <f t="shared" si="82"/>
        <v>0</v>
      </c>
      <c r="R487" s="9">
        <f t="shared" si="83"/>
        <v>5000</v>
      </c>
      <c r="S487" s="9" t="str">
        <f t="shared" si="84"/>
        <v>Loss</v>
      </c>
      <c r="T487" s="7" t="str">
        <f t="shared" si="85"/>
        <v>May</v>
      </c>
      <c r="U487" s="7">
        <f t="shared" si="86"/>
        <v>2025</v>
      </c>
      <c r="V487" s="7" t="str">
        <f t="shared" si="87"/>
        <v>50-55</v>
      </c>
    </row>
    <row r="488" spans="1:22" x14ac:dyDescent="0.3">
      <c r="A488" s="7" t="s">
        <v>505</v>
      </c>
      <c r="B488" s="8" t="s">
        <v>1509</v>
      </c>
      <c r="C488" s="8">
        <v>29</v>
      </c>
      <c r="D488" s="8" t="s">
        <v>720</v>
      </c>
      <c r="E488" s="8" t="s">
        <v>722</v>
      </c>
      <c r="F488" s="7" t="s">
        <v>733</v>
      </c>
      <c r="G488" s="7" t="s">
        <v>738</v>
      </c>
      <c r="H488" s="7" t="s">
        <v>824</v>
      </c>
      <c r="I488" s="7" t="s">
        <v>834</v>
      </c>
      <c r="J488" s="7">
        <f t="shared" si="77"/>
        <v>5</v>
      </c>
      <c r="K488" s="9">
        <f t="shared" si="78"/>
        <v>60000</v>
      </c>
      <c r="L488" s="7">
        <v>2</v>
      </c>
      <c r="M488" s="9">
        <f t="shared" si="79"/>
        <v>120000</v>
      </c>
      <c r="N488" s="9">
        <f t="shared" si="80"/>
        <v>78000</v>
      </c>
      <c r="O488" s="7" t="s">
        <v>1007</v>
      </c>
      <c r="P488" s="10">
        <f t="shared" si="81"/>
        <v>0</v>
      </c>
      <c r="Q488" s="9">
        <f t="shared" si="82"/>
        <v>0</v>
      </c>
      <c r="R488" s="9">
        <f t="shared" si="83"/>
        <v>5000</v>
      </c>
      <c r="S488" s="9" t="str">
        <f t="shared" si="84"/>
        <v>Loss</v>
      </c>
      <c r="T488" s="7" t="str">
        <f t="shared" si="85"/>
        <v>May</v>
      </c>
      <c r="U488" s="7">
        <f t="shared" si="86"/>
        <v>2025</v>
      </c>
      <c r="V488" s="7" t="str">
        <f t="shared" si="87"/>
        <v>25-30</v>
      </c>
    </row>
    <row r="489" spans="1:22" x14ac:dyDescent="0.3">
      <c r="A489" s="7" t="s">
        <v>506</v>
      </c>
      <c r="B489" s="8" t="s">
        <v>1510</v>
      </c>
      <c r="C489" s="8">
        <v>36</v>
      </c>
      <c r="D489" s="8" t="s">
        <v>721</v>
      </c>
      <c r="E489" s="8" t="s">
        <v>726</v>
      </c>
      <c r="F489" s="7" t="s">
        <v>1725</v>
      </c>
      <c r="G489" s="7" t="s">
        <v>868</v>
      </c>
      <c r="H489" s="7" t="s">
        <v>908</v>
      </c>
      <c r="I489" s="7" t="s">
        <v>870</v>
      </c>
      <c r="J489" s="7">
        <f t="shared" si="77"/>
        <v>4</v>
      </c>
      <c r="K489" s="9">
        <f t="shared" si="78"/>
        <v>18000</v>
      </c>
      <c r="L489" s="7">
        <v>1</v>
      </c>
      <c r="M489" s="9">
        <f t="shared" si="79"/>
        <v>18000</v>
      </c>
      <c r="N489" s="9">
        <f t="shared" si="80"/>
        <v>9000</v>
      </c>
      <c r="O489" s="7" t="s">
        <v>1006</v>
      </c>
      <c r="P489" s="10">
        <f t="shared" si="81"/>
        <v>0.05</v>
      </c>
      <c r="Q489" s="9">
        <f t="shared" si="82"/>
        <v>900</v>
      </c>
      <c r="R489" s="9">
        <f t="shared" si="83"/>
        <v>17100</v>
      </c>
      <c r="S489" s="9" t="str">
        <f t="shared" si="84"/>
        <v>Profit</v>
      </c>
      <c r="T489" s="7" t="str">
        <f t="shared" si="85"/>
        <v>Mar</v>
      </c>
      <c r="U489" s="7">
        <f t="shared" si="86"/>
        <v>2025</v>
      </c>
      <c r="V489" s="7" t="str">
        <f t="shared" si="87"/>
        <v>35-40</v>
      </c>
    </row>
    <row r="490" spans="1:22" x14ac:dyDescent="0.3">
      <c r="A490" s="7" t="s">
        <v>507</v>
      </c>
      <c r="B490" s="8" t="s">
        <v>1511</v>
      </c>
      <c r="C490" s="8">
        <v>33</v>
      </c>
      <c r="D490" s="8" t="s">
        <v>720</v>
      </c>
      <c r="E490" s="8" t="s">
        <v>724</v>
      </c>
      <c r="F490" s="7" t="s">
        <v>733</v>
      </c>
      <c r="G490" s="7" t="s">
        <v>737</v>
      </c>
      <c r="H490" s="7" t="s">
        <v>849</v>
      </c>
      <c r="I490" s="7" t="s">
        <v>832</v>
      </c>
      <c r="J490" s="7">
        <f t="shared" si="77"/>
        <v>10</v>
      </c>
      <c r="K490" s="9">
        <f t="shared" si="78"/>
        <v>120000</v>
      </c>
      <c r="L490" s="7">
        <v>4</v>
      </c>
      <c r="M490" s="9">
        <f t="shared" si="79"/>
        <v>480000</v>
      </c>
      <c r="N490" s="9">
        <f t="shared" si="80"/>
        <v>312000</v>
      </c>
      <c r="O490" s="7" t="s">
        <v>1006</v>
      </c>
      <c r="P490" s="10">
        <f t="shared" si="81"/>
        <v>0.15</v>
      </c>
      <c r="Q490" s="9">
        <f t="shared" si="82"/>
        <v>72000</v>
      </c>
      <c r="R490" s="9">
        <f t="shared" si="83"/>
        <v>408000</v>
      </c>
      <c r="S490" s="9" t="str">
        <f t="shared" si="84"/>
        <v>Profit</v>
      </c>
      <c r="T490" s="7" t="str">
        <f t="shared" si="85"/>
        <v>Jan</v>
      </c>
      <c r="U490" s="7">
        <f t="shared" si="86"/>
        <v>2025</v>
      </c>
      <c r="V490" s="7" t="str">
        <f t="shared" si="87"/>
        <v>30-35</v>
      </c>
    </row>
    <row r="491" spans="1:22" x14ac:dyDescent="0.3">
      <c r="A491" s="7" t="s">
        <v>508</v>
      </c>
      <c r="B491" s="8" t="s">
        <v>1512</v>
      </c>
      <c r="C491" s="8">
        <v>33</v>
      </c>
      <c r="D491" s="8" t="s">
        <v>721</v>
      </c>
      <c r="E491" s="8" t="s">
        <v>725</v>
      </c>
      <c r="F491" s="7" t="s">
        <v>734</v>
      </c>
      <c r="G491" s="7" t="s">
        <v>904</v>
      </c>
      <c r="H491" s="7" t="s">
        <v>994</v>
      </c>
      <c r="I491" s="7" t="s">
        <v>976</v>
      </c>
      <c r="J491" s="7">
        <f t="shared" si="77"/>
        <v>8</v>
      </c>
      <c r="K491" s="9">
        <f t="shared" si="78"/>
        <v>80000</v>
      </c>
      <c r="L491" s="7">
        <v>2</v>
      </c>
      <c r="M491" s="9">
        <f t="shared" si="79"/>
        <v>160000</v>
      </c>
      <c r="N491" s="9">
        <f t="shared" si="80"/>
        <v>96000</v>
      </c>
      <c r="O491" s="7" t="s">
        <v>1006</v>
      </c>
      <c r="P491" s="10">
        <f t="shared" si="81"/>
        <v>0.12</v>
      </c>
      <c r="Q491" s="9">
        <f t="shared" si="82"/>
        <v>19200</v>
      </c>
      <c r="R491" s="9">
        <f t="shared" si="83"/>
        <v>140800</v>
      </c>
      <c r="S491" s="9" t="str">
        <f t="shared" si="84"/>
        <v>Profit</v>
      </c>
      <c r="T491" s="7" t="str">
        <f t="shared" si="85"/>
        <v>Aug</v>
      </c>
      <c r="U491" s="7">
        <f t="shared" si="86"/>
        <v>2025</v>
      </c>
      <c r="V491" s="7" t="str">
        <f t="shared" si="87"/>
        <v>30-35</v>
      </c>
    </row>
    <row r="492" spans="1:22" x14ac:dyDescent="0.3">
      <c r="A492" s="7" t="s">
        <v>509</v>
      </c>
      <c r="B492" s="8" t="s">
        <v>1513</v>
      </c>
      <c r="C492" s="8">
        <v>41</v>
      </c>
      <c r="D492" s="8" t="s">
        <v>720</v>
      </c>
      <c r="E492" s="8" t="s">
        <v>722</v>
      </c>
      <c r="F492" s="7" t="s">
        <v>730</v>
      </c>
      <c r="G492" s="7" t="s">
        <v>754</v>
      </c>
      <c r="H492" s="7" t="s">
        <v>940</v>
      </c>
      <c r="I492" s="7" t="s">
        <v>886</v>
      </c>
      <c r="J492" s="7">
        <f t="shared" si="77"/>
        <v>5</v>
      </c>
      <c r="K492" s="9">
        <f t="shared" si="78"/>
        <v>60000</v>
      </c>
      <c r="L492" s="7">
        <v>4</v>
      </c>
      <c r="M492" s="9">
        <f t="shared" si="79"/>
        <v>240000</v>
      </c>
      <c r="N492" s="9">
        <f t="shared" si="80"/>
        <v>156000</v>
      </c>
      <c r="O492" s="7" t="s">
        <v>1007</v>
      </c>
      <c r="P492" s="10">
        <f t="shared" si="81"/>
        <v>0</v>
      </c>
      <c r="Q492" s="9">
        <f t="shared" si="82"/>
        <v>0</v>
      </c>
      <c r="R492" s="9">
        <f t="shared" si="83"/>
        <v>5000</v>
      </c>
      <c r="S492" s="9" t="str">
        <f t="shared" si="84"/>
        <v>Loss</v>
      </c>
      <c r="T492" s="7" t="str">
        <f t="shared" si="85"/>
        <v>Mar</v>
      </c>
      <c r="U492" s="7">
        <f t="shared" si="86"/>
        <v>2025</v>
      </c>
      <c r="V492" s="7" t="str">
        <f t="shared" si="87"/>
        <v>40-45</v>
      </c>
    </row>
    <row r="493" spans="1:22" x14ac:dyDescent="0.3">
      <c r="A493" s="7" t="s">
        <v>510</v>
      </c>
      <c r="B493" s="8" t="s">
        <v>1514</v>
      </c>
      <c r="C493" s="8">
        <v>29</v>
      </c>
      <c r="D493" s="8" t="s">
        <v>720</v>
      </c>
      <c r="E493" s="8" t="s">
        <v>726</v>
      </c>
      <c r="F493" s="7" t="s">
        <v>1729</v>
      </c>
      <c r="G493" s="7" t="s">
        <v>752</v>
      </c>
      <c r="H493" s="7" t="s">
        <v>745</v>
      </c>
      <c r="I493" s="7" t="s">
        <v>844</v>
      </c>
      <c r="J493" s="7">
        <f t="shared" si="77"/>
        <v>4</v>
      </c>
      <c r="K493" s="9">
        <f t="shared" si="78"/>
        <v>18000</v>
      </c>
      <c r="L493" s="7">
        <v>2</v>
      </c>
      <c r="M493" s="9">
        <f t="shared" si="79"/>
        <v>36000</v>
      </c>
      <c r="N493" s="9">
        <f t="shared" si="80"/>
        <v>18000</v>
      </c>
      <c r="O493" s="7" t="s">
        <v>1007</v>
      </c>
      <c r="P493" s="10">
        <f t="shared" si="81"/>
        <v>0</v>
      </c>
      <c r="Q493" s="9">
        <f t="shared" si="82"/>
        <v>0</v>
      </c>
      <c r="R493" s="9">
        <f t="shared" si="83"/>
        <v>5000</v>
      </c>
      <c r="S493" s="9" t="str">
        <f t="shared" si="84"/>
        <v>Loss</v>
      </c>
      <c r="T493" s="7" t="str">
        <f t="shared" si="85"/>
        <v>May</v>
      </c>
      <c r="U493" s="7">
        <f t="shared" si="86"/>
        <v>2025</v>
      </c>
      <c r="V493" s="7" t="str">
        <f t="shared" si="87"/>
        <v>25-30</v>
      </c>
    </row>
    <row r="494" spans="1:22" x14ac:dyDescent="0.3">
      <c r="A494" s="7" t="s">
        <v>511</v>
      </c>
      <c r="B494" s="8" t="s">
        <v>1515</v>
      </c>
      <c r="C494" s="8">
        <v>35</v>
      </c>
      <c r="D494" s="8" t="s">
        <v>720</v>
      </c>
      <c r="E494" s="8" t="s">
        <v>726</v>
      </c>
      <c r="F494" s="7" t="s">
        <v>728</v>
      </c>
      <c r="G494" s="7" t="s">
        <v>767</v>
      </c>
      <c r="H494" s="7" t="s">
        <v>742</v>
      </c>
      <c r="I494" s="7" t="s">
        <v>746</v>
      </c>
      <c r="J494" s="7">
        <f t="shared" si="77"/>
        <v>4</v>
      </c>
      <c r="K494" s="9">
        <f t="shared" si="78"/>
        <v>18000</v>
      </c>
      <c r="L494" s="7">
        <v>4</v>
      </c>
      <c r="M494" s="9">
        <f t="shared" si="79"/>
        <v>72000</v>
      </c>
      <c r="N494" s="9">
        <f t="shared" si="80"/>
        <v>36000</v>
      </c>
      <c r="O494" s="7" t="s">
        <v>1007</v>
      </c>
      <c r="P494" s="10">
        <f t="shared" si="81"/>
        <v>0</v>
      </c>
      <c r="Q494" s="9">
        <f t="shared" si="82"/>
        <v>0</v>
      </c>
      <c r="R494" s="9">
        <f t="shared" si="83"/>
        <v>5000</v>
      </c>
      <c r="S494" s="9" t="str">
        <f t="shared" si="84"/>
        <v>Loss</v>
      </c>
      <c r="T494" s="7" t="str">
        <f t="shared" si="85"/>
        <v>Apr</v>
      </c>
      <c r="U494" s="7">
        <f t="shared" si="86"/>
        <v>2025</v>
      </c>
      <c r="V494" s="7" t="str">
        <f t="shared" si="87"/>
        <v>35-40</v>
      </c>
    </row>
    <row r="495" spans="1:22" x14ac:dyDescent="0.3">
      <c r="A495" s="7" t="s">
        <v>512</v>
      </c>
      <c r="B495" s="8" t="s">
        <v>1516</v>
      </c>
      <c r="C495" s="8">
        <v>53</v>
      </c>
      <c r="D495" s="8" t="s">
        <v>721</v>
      </c>
      <c r="E495" s="8" t="s">
        <v>726</v>
      </c>
      <c r="F495" s="7" t="s">
        <v>1733</v>
      </c>
      <c r="G495" s="7" t="s">
        <v>862</v>
      </c>
      <c r="H495" s="7" t="s">
        <v>849</v>
      </c>
      <c r="I495" s="7" t="s">
        <v>763</v>
      </c>
      <c r="J495" s="7">
        <f t="shared" si="77"/>
        <v>4</v>
      </c>
      <c r="K495" s="9">
        <f t="shared" si="78"/>
        <v>18000</v>
      </c>
      <c r="L495" s="7">
        <v>4</v>
      </c>
      <c r="M495" s="9">
        <f t="shared" si="79"/>
        <v>72000</v>
      </c>
      <c r="N495" s="9">
        <f t="shared" si="80"/>
        <v>36000</v>
      </c>
      <c r="O495" s="7" t="s">
        <v>1006</v>
      </c>
      <c r="P495" s="10">
        <f t="shared" si="81"/>
        <v>0.05</v>
      </c>
      <c r="Q495" s="9">
        <f t="shared" si="82"/>
        <v>3600</v>
      </c>
      <c r="R495" s="9">
        <f t="shared" si="83"/>
        <v>68400</v>
      </c>
      <c r="S495" s="9" t="str">
        <f t="shared" si="84"/>
        <v>Profit</v>
      </c>
      <c r="T495" s="7" t="str">
        <f t="shared" si="85"/>
        <v>Jan</v>
      </c>
      <c r="U495" s="7">
        <f t="shared" si="86"/>
        <v>2025</v>
      </c>
      <c r="V495" s="7" t="str">
        <f t="shared" si="87"/>
        <v>50-55</v>
      </c>
    </row>
    <row r="496" spans="1:22" x14ac:dyDescent="0.3">
      <c r="A496" s="7" t="s">
        <v>513</v>
      </c>
      <c r="B496" s="8" t="s">
        <v>1517</v>
      </c>
      <c r="C496" s="8">
        <v>32</v>
      </c>
      <c r="D496" s="8" t="s">
        <v>720</v>
      </c>
      <c r="E496" s="8" t="s">
        <v>723</v>
      </c>
      <c r="F496" s="7" t="s">
        <v>729</v>
      </c>
      <c r="G496" s="7" t="s">
        <v>777</v>
      </c>
      <c r="H496" s="7" t="s">
        <v>904</v>
      </c>
      <c r="I496" s="7" t="s">
        <v>898</v>
      </c>
      <c r="J496" s="7">
        <f t="shared" si="77"/>
        <v>7</v>
      </c>
      <c r="K496" s="9">
        <f t="shared" si="78"/>
        <v>70000</v>
      </c>
      <c r="L496" s="7">
        <v>1</v>
      </c>
      <c r="M496" s="9">
        <f t="shared" si="79"/>
        <v>70000</v>
      </c>
      <c r="N496" s="9">
        <f t="shared" si="80"/>
        <v>42000</v>
      </c>
      <c r="O496" s="7" t="s">
        <v>1007</v>
      </c>
      <c r="P496" s="10">
        <f t="shared" si="81"/>
        <v>0</v>
      </c>
      <c r="Q496" s="9">
        <f t="shared" si="82"/>
        <v>0</v>
      </c>
      <c r="R496" s="9">
        <f t="shared" si="83"/>
        <v>5000</v>
      </c>
      <c r="S496" s="9" t="str">
        <f t="shared" si="84"/>
        <v>Loss</v>
      </c>
      <c r="T496" s="7" t="str">
        <f t="shared" si="85"/>
        <v>Jul</v>
      </c>
      <c r="U496" s="7">
        <f t="shared" si="86"/>
        <v>2025</v>
      </c>
      <c r="V496" s="7" t="str">
        <f t="shared" si="87"/>
        <v>30-35</v>
      </c>
    </row>
    <row r="497" spans="1:22" x14ac:dyDescent="0.3">
      <c r="A497" s="7" t="s">
        <v>514</v>
      </c>
      <c r="B497" s="8" t="s">
        <v>1518</v>
      </c>
      <c r="C497" s="8">
        <v>28</v>
      </c>
      <c r="D497" s="8" t="s">
        <v>721</v>
      </c>
      <c r="E497" s="8" t="s">
        <v>723</v>
      </c>
      <c r="F497" s="7" t="s">
        <v>730</v>
      </c>
      <c r="G497" s="7" t="s">
        <v>791</v>
      </c>
      <c r="H497" s="7" t="s">
        <v>861</v>
      </c>
      <c r="I497" s="7" t="s">
        <v>871</v>
      </c>
      <c r="J497" s="7">
        <f t="shared" si="77"/>
        <v>7</v>
      </c>
      <c r="K497" s="9">
        <f t="shared" si="78"/>
        <v>70000</v>
      </c>
      <c r="L497" s="7">
        <v>2</v>
      </c>
      <c r="M497" s="9">
        <f t="shared" si="79"/>
        <v>140000</v>
      </c>
      <c r="N497" s="9">
        <f t="shared" si="80"/>
        <v>84000</v>
      </c>
      <c r="O497" s="7" t="s">
        <v>1006</v>
      </c>
      <c r="P497" s="10">
        <f t="shared" si="81"/>
        <v>7.0000000000000007E-2</v>
      </c>
      <c r="Q497" s="9">
        <f t="shared" si="82"/>
        <v>9800.0000000000018</v>
      </c>
      <c r="R497" s="9">
        <f t="shared" si="83"/>
        <v>130200</v>
      </c>
      <c r="S497" s="9" t="str">
        <f t="shared" si="84"/>
        <v>Profit</v>
      </c>
      <c r="T497" s="7" t="str">
        <f t="shared" si="85"/>
        <v>Jan</v>
      </c>
      <c r="U497" s="7">
        <f t="shared" si="86"/>
        <v>2025</v>
      </c>
      <c r="V497" s="7" t="str">
        <f t="shared" si="87"/>
        <v>25-30</v>
      </c>
    </row>
    <row r="498" spans="1:22" x14ac:dyDescent="0.3">
      <c r="A498" s="7" t="s">
        <v>515</v>
      </c>
      <c r="B498" s="8" t="s">
        <v>1519</v>
      </c>
      <c r="C498" s="8">
        <v>18</v>
      </c>
      <c r="D498" s="8" t="s">
        <v>720</v>
      </c>
      <c r="E498" s="8" t="s">
        <v>723</v>
      </c>
      <c r="F498" s="7" t="s">
        <v>735</v>
      </c>
      <c r="G498" s="7" t="s">
        <v>917</v>
      </c>
      <c r="H498" s="7" t="s">
        <v>841</v>
      </c>
      <c r="I498" s="7" t="s">
        <v>994</v>
      </c>
      <c r="J498" s="7">
        <f t="shared" si="77"/>
        <v>7</v>
      </c>
      <c r="K498" s="9">
        <f t="shared" si="78"/>
        <v>70000</v>
      </c>
      <c r="L498" s="7">
        <v>1</v>
      </c>
      <c r="M498" s="9">
        <f t="shared" si="79"/>
        <v>70000</v>
      </c>
      <c r="N498" s="9">
        <f t="shared" si="80"/>
        <v>42000</v>
      </c>
      <c r="O498" s="7" t="s">
        <v>1006</v>
      </c>
      <c r="P498" s="10">
        <f t="shared" si="81"/>
        <v>7.0000000000000007E-2</v>
      </c>
      <c r="Q498" s="9">
        <f t="shared" si="82"/>
        <v>4900.0000000000009</v>
      </c>
      <c r="R498" s="9">
        <f t="shared" si="83"/>
        <v>65100</v>
      </c>
      <c r="S498" s="9" t="str">
        <f t="shared" si="84"/>
        <v>Profit</v>
      </c>
      <c r="T498" s="7" t="str">
        <f t="shared" si="85"/>
        <v>Jul</v>
      </c>
      <c r="U498" s="7">
        <f t="shared" si="86"/>
        <v>2025</v>
      </c>
      <c r="V498" s="7" t="str">
        <f t="shared" si="87"/>
        <v>15-20</v>
      </c>
    </row>
    <row r="499" spans="1:22" x14ac:dyDescent="0.3">
      <c r="A499" s="7" t="s">
        <v>516</v>
      </c>
      <c r="B499" s="8" t="s">
        <v>1520</v>
      </c>
      <c r="C499" s="8">
        <v>21</v>
      </c>
      <c r="D499" s="8" t="s">
        <v>720</v>
      </c>
      <c r="E499" s="8" t="s">
        <v>724</v>
      </c>
      <c r="F499" s="7" t="s">
        <v>730</v>
      </c>
      <c r="G499" s="7" t="s">
        <v>868</v>
      </c>
      <c r="H499" s="7" t="s">
        <v>909</v>
      </c>
      <c r="I499" s="7" t="s">
        <v>789</v>
      </c>
      <c r="J499" s="7">
        <f t="shared" si="77"/>
        <v>10</v>
      </c>
      <c r="K499" s="9">
        <f t="shared" si="78"/>
        <v>120000</v>
      </c>
      <c r="L499" s="7">
        <v>1</v>
      </c>
      <c r="M499" s="9">
        <f t="shared" si="79"/>
        <v>120000</v>
      </c>
      <c r="N499" s="9">
        <f t="shared" si="80"/>
        <v>78000</v>
      </c>
      <c r="O499" s="7" t="s">
        <v>1007</v>
      </c>
      <c r="P499" s="10">
        <f t="shared" si="81"/>
        <v>0</v>
      </c>
      <c r="Q499" s="9">
        <f t="shared" si="82"/>
        <v>0</v>
      </c>
      <c r="R499" s="9">
        <f t="shared" si="83"/>
        <v>5000</v>
      </c>
      <c r="S499" s="9" t="str">
        <f t="shared" si="84"/>
        <v>Loss</v>
      </c>
      <c r="T499" s="7" t="str">
        <f t="shared" si="85"/>
        <v>Mar</v>
      </c>
      <c r="U499" s="7">
        <f t="shared" si="86"/>
        <v>2025</v>
      </c>
      <c r="V499" s="7" t="str">
        <f t="shared" si="87"/>
        <v>20-25</v>
      </c>
    </row>
    <row r="500" spans="1:22" x14ac:dyDescent="0.3">
      <c r="A500" s="7" t="s">
        <v>517</v>
      </c>
      <c r="B500" s="8" t="s">
        <v>1521</v>
      </c>
      <c r="C500" s="8">
        <v>43</v>
      </c>
      <c r="D500" s="8" t="s">
        <v>721</v>
      </c>
      <c r="E500" s="8" t="s">
        <v>722</v>
      </c>
      <c r="F500" s="7" t="s">
        <v>1730</v>
      </c>
      <c r="G500" s="7" t="s">
        <v>876</v>
      </c>
      <c r="H500" s="7" t="s">
        <v>763</v>
      </c>
      <c r="I500" s="7" t="s">
        <v>781</v>
      </c>
      <c r="J500" s="7">
        <f t="shared" si="77"/>
        <v>5</v>
      </c>
      <c r="K500" s="9">
        <f t="shared" si="78"/>
        <v>60000</v>
      </c>
      <c r="L500" s="7">
        <v>2</v>
      </c>
      <c r="M500" s="9">
        <f t="shared" si="79"/>
        <v>120000</v>
      </c>
      <c r="N500" s="9">
        <f t="shared" si="80"/>
        <v>78000</v>
      </c>
      <c r="O500" s="7" t="s">
        <v>1006</v>
      </c>
      <c r="P500" s="10">
        <f t="shared" si="81"/>
        <v>0.1</v>
      </c>
      <c r="Q500" s="9">
        <f t="shared" si="82"/>
        <v>12000</v>
      </c>
      <c r="R500" s="9">
        <f t="shared" si="83"/>
        <v>108000</v>
      </c>
      <c r="S500" s="9" t="str">
        <f t="shared" si="84"/>
        <v>Profit</v>
      </c>
      <c r="T500" s="7" t="str">
        <f t="shared" si="85"/>
        <v>Jan</v>
      </c>
      <c r="U500" s="7">
        <f t="shared" si="86"/>
        <v>2025</v>
      </c>
      <c r="V500" s="7" t="str">
        <f t="shared" si="87"/>
        <v>40-45</v>
      </c>
    </row>
    <row r="501" spans="1:22" x14ac:dyDescent="0.3">
      <c r="A501" s="7" t="s">
        <v>518</v>
      </c>
      <c r="B501" s="8" t="s">
        <v>1522</v>
      </c>
      <c r="C501" s="8">
        <v>24</v>
      </c>
      <c r="D501" s="8" t="s">
        <v>721</v>
      </c>
      <c r="E501" s="8" t="s">
        <v>726</v>
      </c>
      <c r="F501" s="7" t="s">
        <v>1731</v>
      </c>
      <c r="G501" s="7" t="s">
        <v>936</v>
      </c>
      <c r="H501" s="7" t="s">
        <v>892</v>
      </c>
      <c r="I501" s="7" t="s">
        <v>868</v>
      </c>
      <c r="J501" s="7">
        <f t="shared" si="77"/>
        <v>4</v>
      </c>
      <c r="K501" s="9">
        <f t="shared" si="78"/>
        <v>18000</v>
      </c>
      <c r="L501" s="7">
        <v>2</v>
      </c>
      <c r="M501" s="9">
        <f t="shared" si="79"/>
        <v>36000</v>
      </c>
      <c r="N501" s="9">
        <f t="shared" si="80"/>
        <v>18000</v>
      </c>
      <c r="O501" s="7" t="s">
        <v>1007</v>
      </c>
      <c r="P501" s="10">
        <f t="shared" si="81"/>
        <v>0</v>
      </c>
      <c r="Q501" s="9">
        <f t="shared" si="82"/>
        <v>0</v>
      </c>
      <c r="R501" s="9">
        <f t="shared" si="83"/>
        <v>5000</v>
      </c>
      <c r="S501" s="9" t="str">
        <f t="shared" si="84"/>
        <v>Loss</v>
      </c>
      <c r="T501" s="7" t="str">
        <f t="shared" si="85"/>
        <v>Feb</v>
      </c>
      <c r="U501" s="7">
        <f t="shared" si="86"/>
        <v>2025</v>
      </c>
      <c r="V501" s="7" t="str">
        <f t="shared" si="87"/>
        <v>20-25</v>
      </c>
    </row>
    <row r="502" spans="1:22" x14ac:dyDescent="0.3">
      <c r="A502" s="7" t="s">
        <v>519</v>
      </c>
      <c r="B502" s="8" t="s">
        <v>1523</v>
      </c>
      <c r="C502" s="8">
        <v>35</v>
      </c>
      <c r="D502" s="8" t="s">
        <v>721</v>
      </c>
      <c r="E502" s="8" t="s">
        <v>722</v>
      </c>
      <c r="F502" s="7" t="s">
        <v>735</v>
      </c>
      <c r="G502" s="7" t="s">
        <v>926</v>
      </c>
      <c r="H502" s="7" t="s">
        <v>898</v>
      </c>
      <c r="I502" s="7" t="s">
        <v>941</v>
      </c>
      <c r="J502" s="7">
        <f t="shared" si="77"/>
        <v>5</v>
      </c>
      <c r="K502" s="9">
        <f t="shared" si="78"/>
        <v>60000</v>
      </c>
      <c r="L502" s="7">
        <v>3</v>
      </c>
      <c r="M502" s="9">
        <f t="shared" si="79"/>
        <v>180000</v>
      </c>
      <c r="N502" s="9">
        <f t="shared" si="80"/>
        <v>117000</v>
      </c>
      <c r="O502" s="7" t="s">
        <v>1007</v>
      </c>
      <c r="P502" s="10">
        <f t="shared" si="81"/>
        <v>0</v>
      </c>
      <c r="Q502" s="9">
        <f t="shared" si="82"/>
        <v>0</v>
      </c>
      <c r="R502" s="9">
        <f t="shared" si="83"/>
        <v>5000</v>
      </c>
      <c r="S502" s="9" t="str">
        <f t="shared" si="84"/>
        <v>Loss</v>
      </c>
      <c r="T502" s="7" t="str">
        <f t="shared" si="85"/>
        <v>Aug</v>
      </c>
      <c r="U502" s="7">
        <f t="shared" si="86"/>
        <v>2025</v>
      </c>
      <c r="V502" s="7" t="str">
        <f t="shared" si="87"/>
        <v>35-40</v>
      </c>
    </row>
    <row r="503" spans="1:22" x14ac:dyDescent="0.3">
      <c r="A503" s="7" t="s">
        <v>520</v>
      </c>
      <c r="B503" s="8" t="s">
        <v>1524</v>
      </c>
      <c r="C503" s="8">
        <v>54</v>
      </c>
      <c r="D503" s="8" t="s">
        <v>721</v>
      </c>
      <c r="E503" s="8" t="s">
        <v>722</v>
      </c>
      <c r="F503" s="7" t="s">
        <v>729</v>
      </c>
      <c r="G503" s="7" t="s">
        <v>835</v>
      </c>
      <c r="H503" s="7" t="s">
        <v>970</v>
      </c>
      <c r="I503" s="7" t="s">
        <v>993</v>
      </c>
      <c r="J503" s="7">
        <f t="shared" si="77"/>
        <v>5</v>
      </c>
      <c r="K503" s="9">
        <f t="shared" si="78"/>
        <v>60000</v>
      </c>
      <c r="L503" s="7">
        <v>1</v>
      </c>
      <c r="M503" s="9">
        <f t="shared" si="79"/>
        <v>60000</v>
      </c>
      <c r="N503" s="9">
        <f t="shared" si="80"/>
        <v>39000</v>
      </c>
      <c r="O503" s="7" t="s">
        <v>1006</v>
      </c>
      <c r="P503" s="10">
        <f t="shared" si="81"/>
        <v>0.1</v>
      </c>
      <c r="Q503" s="9">
        <f t="shared" si="82"/>
        <v>6000</v>
      </c>
      <c r="R503" s="9">
        <f t="shared" si="83"/>
        <v>54000</v>
      </c>
      <c r="S503" s="9" t="str">
        <f t="shared" si="84"/>
        <v>Profit</v>
      </c>
      <c r="T503" s="7" t="str">
        <f t="shared" si="85"/>
        <v>Aug</v>
      </c>
      <c r="U503" s="7">
        <f t="shared" si="86"/>
        <v>2025</v>
      </c>
      <c r="V503" s="7" t="str">
        <f t="shared" si="87"/>
        <v>50-55</v>
      </c>
    </row>
    <row r="504" spans="1:22" x14ac:dyDescent="0.3">
      <c r="A504" s="7" t="s">
        <v>521</v>
      </c>
      <c r="B504" s="8" t="s">
        <v>1525</v>
      </c>
      <c r="C504" s="8">
        <v>31</v>
      </c>
      <c r="D504" s="8" t="s">
        <v>720</v>
      </c>
      <c r="E504" s="8" t="s">
        <v>724</v>
      </c>
      <c r="F504" s="7" t="s">
        <v>733</v>
      </c>
      <c r="G504" s="7" t="s">
        <v>834</v>
      </c>
      <c r="H504" s="7" t="s">
        <v>891</v>
      </c>
      <c r="I504" s="7" t="s">
        <v>736</v>
      </c>
      <c r="J504" s="7">
        <f t="shared" si="77"/>
        <v>10</v>
      </c>
      <c r="K504" s="9">
        <f t="shared" si="78"/>
        <v>120000</v>
      </c>
      <c r="L504" s="7">
        <v>1</v>
      </c>
      <c r="M504" s="9">
        <f t="shared" si="79"/>
        <v>120000</v>
      </c>
      <c r="N504" s="9">
        <f t="shared" si="80"/>
        <v>78000</v>
      </c>
      <c r="O504" s="7" t="s">
        <v>1006</v>
      </c>
      <c r="P504" s="10">
        <f t="shared" si="81"/>
        <v>0.15</v>
      </c>
      <c r="Q504" s="9">
        <f t="shared" si="82"/>
        <v>18000</v>
      </c>
      <c r="R504" s="9">
        <f t="shared" si="83"/>
        <v>102000</v>
      </c>
      <c r="S504" s="9" t="str">
        <f t="shared" si="84"/>
        <v>Profit</v>
      </c>
      <c r="T504" s="7" t="str">
        <f t="shared" si="85"/>
        <v>Jun</v>
      </c>
      <c r="U504" s="7">
        <f t="shared" si="86"/>
        <v>2025</v>
      </c>
      <c r="V504" s="7" t="str">
        <f t="shared" si="87"/>
        <v>30-35</v>
      </c>
    </row>
    <row r="505" spans="1:22" x14ac:dyDescent="0.3">
      <c r="A505" s="7" t="s">
        <v>522</v>
      </c>
      <c r="B505" s="8" t="s">
        <v>1526</v>
      </c>
      <c r="C505" s="8">
        <v>27</v>
      </c>
      <c r="D505" s="8" t="s">
        <v>721</v>
      </c>
      <c r="E505" s="8" t="s">
        <v>725</v>
      </c>
      <c r="F505" s="7" t="s">
        <v>730</v>
      </c>
      <c r="G505" s="7" t="s">
        <v>927</v>
      </c>
      <c r="H505" s="7" t="s">
        <v>743</v>
      </c>
      <c r="I505" s="7" t="s">
        <v>891</v>
      </c>
      <c r="J505" s="7">
        <f t="shared" si="77"/>
        <v>8</v>
      </c>
      <c r="K505" s="9">
        <f t="shared" si="78"/>
        <v>80000</v>
      </c>
      <c r="L505" s="7">
        <v>2</v>
      </c>
      <c r="M505" s="9">
        <f t="shared" si="79"/>
        <v>160000</v>
      </c>
      <c r="N505" s="9">
        <f t="shared" si="80"/>
        <v>96000</v>
      </c>
      <c r="O505" s="7" t="s">
        <v>1007</v>
      </c>
      <c r="P505" s="10">
        <f t="shared" si="81"/>
        <v>0</v>
      </c>
      <c r="Q505" s="9">
        <f t="shared" si="82"/>
        <v>0</v>
      </c>
      <c r="R505" s="9">
        <f t="shared" si="83"/>
        <v>5000</v>
      </c>
      <c r="S505" s="9" t="str">
        <f t="shared" si="84"/>
        <v>Loss</v>
      </c>
      <c r="T505" s="7" t="str">
        <f t="shared" si="85"/>
        <v>Jun</v>
      </c>
      <c r="U505" s="7">
        <f t="shared" si="86"/>
        <v>2025</v>
      </c>
      <c r="V505" s="7" t="str">
        <f t="shared" si="87"/>
        <v>25-30</v>
      </c>
    </row>
    <row r="506" spans="1:22" x14ac:dyDescent="0.3">
      <c r="A506" s="7" t="s">
        <v>523</v>
      </c>
      <c r="B506" s="8" t="s">
        <v>1527</v>
      </c>
      <c r="C506" s="8">
        <v>25</v>
      </c>
      <c r="D506" s="8" t="s">
        <v>721</v>
      </c>
      <c r="E506" s="8" t="s">
        <v>725</v>
      </c>
      <c r="F506" s="7" t="s">
        <v>731</v>
      </c>
      <c r="G506" s="7" t="s">
        <v>756</v>
      </c>
      <c r="H506" s="7" t="s">
        <v>935</v>
      </c>
      <c r="I506" s="7" t="s">
        <v>953</v>
      </c>
      <c r="J506" s="7">
        <f t="shared" si="77"/>
        <v>8</v>
      </c>
      <c r="K506" s="9">
        <f t="shared" si="78"/>
        <v>80000</v>
      </c>
      <c r="L506" s="7">
        <v>2</v>
      </c>
      <c r="M506" s="9">
        <f t="shared" si="79"/>
        <v>160000</v>
      </c>
      <c r="N506" s="9">
        <f t="shared" si="80"/>
        <v>96000</v>
      </c>
      <c r="O506" s="7" t="s">
        <v>1006</v>
      </c>
      <c r="P506" s="10">
        <f t="shared" si="81"/>
        <v>0.12</v>
      </c>
      <c r="Q506" s="9">
        <f t="shared" si="82"/>
        <v>19200</v>
      </c>
      <c r="R506" s="9">
        <f t="shared" si="83"/>
        <v>140800</v>
      </c>
      <c r="S506" s="9" t="str">
        <f t="shared" si="84"/>
        <v>Profit</v>
      </c>
      <c r="T506" s="7" t="str">
        <f t="shared" si="85"/>
        <v>Mar</v>
      </c>
      <c r="U506" s="7">
        <f t="shared" si="86"/>
        <v>2025</v>
      </c>
      <c r="V506" s="7" t="str">
        <f t="shared" si="87"/>
        <v>25-30</v>
      </c>
    </row>
    <row r="507" spans="1:22" x14ac:dyDescent="0.3">
      <c r="A507" s="7" t="s">
        <v>524</v>
      </c>
      <c r="B507" s="8" t="s">
        <v>1528</v>
      </c>
      <c r="C507" s="8">
        <v>51</v>
      </c>
      <c r="D507" s="8" t="s">
        <v>720</v>
      </c>
      <c r="E507" s="8" t="s">
        <v>723</v>
      </c>
      <c r="F507" s="7" t="s">
        <v>735</v>
      </c>
      <c r="G507" s="7" t="s">
        <v>872</v>
      </c>
      <c r="H507" s="7" t="s">
        <v>839</v>
      </c>
      <c r="I507" s="7" t="s">
        <v>919</v>
      </c>
      <c r="J507" s="7">
        <f t="shared" si="77"/>
        <v>7</v>
      </c>
      <c r="K507" s="9">
        <f t="shared" si="78"/>
        <v>70000</v>
      </c>
      <c r="L507" s="7">
        <v>1</v>
      </c>
      <c r="M507" s="9">
        <f t="shared" si="79"/>
        <v>70000</v>
      </c>
      <c r="N507" s="9">
        <f t="shared" si="80"/>
        <v>42000</v>
      </c>
      <c r="O507" s="7" t="s">
        <v>1006</v>
      </c>
      <c r="P507" s="10">
        <f t="shared" si="81"/>
        <v>7.0000000000000007E-2</v>
      </c>
      <c r="Q507" s="9">
        <f t="shared" si="82"/>
        <v>4900.0000000000009</v>
      </c>
      <c r="R507" s="9">
        <f t="shared" si="83"/>
        <v>65100</v>
      </c>
      <c r="S507" s="9" t="str">
        <f t="shared" si="84"/>
        <v>Profit</v>
      </c>
      <c r="T507" s="7" t="str">
        <f t="shared" si="85"/>
        <v>Jul</v>
      </c>
      <c r="U507" s="7">
        <f t="shared" si="86"/>
        <v>2025</v>
      </c>
      <c r="V507" s="7" t="str">
        <f t="shared" si="87"/>
        <v>50-55</v>
      </c>
    </row>
    <row r="508" spans="1:22" x14ac:dyDescent="0.3">
      <c r="A508" s="7" t="s">
        <v>525</v>
      </c>
      <c r="B508" s="8" t="s">
        <v>1529</v>
      </c>
      <c r="C508" s="8">
        <v>37</v>
      </c>
      <c r="D508" s="8" t="s">
        <v>721</v>
      </c>
      <c r="E508" s="8" t="s">
        <v>724</v>
      </c>
      <c r="F508" s="7" t="s">
        <v>727</v>
      </c>
      <c r="G508" s="7" t="s">
        <v>822</v>
      </c>
      <c r="H508" s="7" t="s">
        <v>938</v>
      </c>
      <c r="I508" s="7" t="s">
        <v>763</v>
      </c>
      <c r="J508" s="7">
        <f t="shared" si="77"/>
        <v>10</v>
      </c>
      <c r="K508" s="9">
        <f t="shared" si="78"/>
        <v>120000</v>
      </c>
      <c r="L508" s="7">
        <v>2</v>
      </c>
      <c r="M508" s="9">
        <f t="shared" si="79"/>
        <v>240000</v>
      </c>
      <c r="N508" s="9">
        <f t="shared" si="80"/>
        <v>156000</v>
      </c>
      <c r="O508" s="7" t="s">
        <v>1006</v>
      </c>
      <c r="P508" s="10">
        <f t="shared" si="81"/>
        <v>0.15</v>
      </c>
      <c r="Q508" s="9">
        <f t="shared" si="82"/>
        <v>36000</v>
      </c>
      <c r="R508" s="9">
        <f t="shared" si="83"/>
        <v>204000</v>
      </c>
      <c r="S508" s="9" t="str">
        <f t="shared" si="84"/>
        <v>Profit</v>
      </c>
      <c r="T508" s="7" t="str">
        <f t="shared" si="85"/>
        <v>Jan</v>
      </c>
      <c r="U508" s="7">
        <f t="shared" si="86"/>
        <v>2025</v>
      </c>
      <c r="V508" s="7" t="str">
        <f t="shared" si="87"/>
        <v>35-40</v>
      </c>
    </row>
    <row r="509" spans="1:22" x14ac:dyDescent="0.3">
      <c r="A509" s="7" t="s">
        <v>526</v>
      </c>
      <c r="B509" s="8" t="s">
        <v>1530</v>
      </c>
      <c r="C509" s="8">
        <v>41</v>
      </c>
      <c r="D509" s="8" t="s">
        <v>720</v>
      </c>
      <c r="E509" s="8" t="s">
        <v>723</v>
      </c>
      <c r="F509" s="7" t="s">
        <v>734</v>
      </c>
      <c r="G509" s="7" t="s">
        <v>761</v>
      </c>
      <c r="H509" s="7" t="s">
        <v>788</v>
      </c>
      <c r="I509" s="7" t="s">
        <v>823</v>
      </c>
      <c r="J509" s="7">
        <f t="shared" si="77"/>
        <v>7</v>
      </c>
      <c r="K509" s="9">
        <f t="shared" si="78"/>
        <v>70000</v>
      </c>
      <c r="L509" s="7">
        <v>1</v>
      </c>
      <c r="M509" s="9">
        <f t="shared" si="79"/>
        <v>70000</v>
      </c>
      <c r="N509" s="9">
        <f t="shared" si="80"/>
        <v>42000</v>
      </c>
      <c r="O509" s="7" t="s">
        <v>1006</v>
      </c>
      <c r="P509" s="10">
        <f t="shared" si="81"/>
        <v>7.0000000000000007E-2</v>
      </c>
      <c r="Q509" s="9">
        <f t="shared" si="82"/>
        <v>4900.0000000000009</v>
      </c>
      <c r="R509" s="9">
        <f t="shared" si="83"/>
        <v>65100</v>
      </c>
      <c r="S509" s="9" t="str">
        <f t="shared" si="84"/>
        <v>Profit</v>
      </c>
      <c r="T509" s="7" t="str">
        <f t="shared" si="85"/>
        <v>Jan</v>
      </c>
      <c r="U509" s="7">
        <f t="shared" si="86"/>
        <v>2025</v>
      </c>
      <c r="V509" s="7" t="str">
        <f t="shared" si="87"/>
        <v>40-45</v>
      </c>
    </row>
    <row r="510" spans="1:22" x14ac:dyDescent="0.3">
      <c r="A510" s="7" t="s">
        <v>527</v>
      </c>
      <c r="B510" s="8" t="s">
        <v>1531</v>
      </c>
      <c r="C510" s="8">
        <v>53</v>
      </c>
      <c r="D510" s="8" t="s">
        <v>720</v>
      </c>
      <c r="E510" s="8" t="s">
        <v>726</v>
      </c>
      <c r="F510" s="7" t="s">
        <v>1730</v>
      </c>
      <c r="G510" s="7" t="s">
        <v>913</v>
      </c>
      <c r="H510" s="7" t="s">
        <v>857</v>
      </c>
      <c r="I510" s="7" t="s">
        <v>873</v>
      </c>
      <c r="J510" s="7">
        <f t="shared" si="77"/>
        <v>4</v>
      </c>
      <c r="K510" s="9">
        <f t="shared" si="78"/>
        <v>18000</v>
      </c>
      <c r="L510" s="7">
        <v>2</v>
      </c>
      <c r="M510" s="9">
        <f t="shared" si="79"/>
        <v>36000</v>
      </c>
      <c r="N510" s="9">
        <f t="shared" si="80"/>
        <v>18000</v>
      </c>
      <c r="O510" s="7" t="s">
        <v>1007</v>
      </c>
      <c r="P510" s="10">
        <f t="shared" si="81"/>
        <v>0</v>
      </c>
      <c r="Q510" s="9">
        <f t="shared" si="82"/>
        <v>0</v>
      </c>
      <c r="R510" s="9">
        <f t="shared" si="83"/>
        <v>5000</v>
      </c>
      <c r="S510" s="9" t="str">
        <f t="shared" si="84"/>
        <v>Loss</v>
      </c>
      <c r="T510" s="7" t="str">
        <f t="shared" si="85"/>
        <v>Jul</v>
      </c>
      <c r="U510" s="7">
        <f t="shared" si="86"/>
        <v>2025</v>
      </c>
      <c r="V510" s="7" t="str">
        <f t="shared" si="87"/>
        <v>50-55</v>
      </c>
    </row>
    <row r="511" spans="1:22" x14ac:dyDescent="0.3">
      <c r="A511" s="7" t="s">
        <v>528</v>
      </c>
      <c r="B511" s="8" t="s">
        <v>1532</v>
      </c>
      <c r="C511" s="8">
        <v>20</v>
      </c>
      <c r="D511" s="8" t="s">
        <v>720</v>
      </c>
      <c r="E511" s="8" t="s">
        <v>726</v>
      </c>
      <c r="F511" s="7" t="s">
        <v>728</v>
      </c>
      <c r="G511" s="7" t="s">
        <v>744</v>
      </c>
      <c r="H511" s="7" t="s">
        <v>861</v>
      </c>
      <c r="I511" s="7" t="s">
        <v>871</v>
      </c>
      <c r="J511" s="7">
        <f t="shared" si="77"/>
        <v>4</v>
      </c>
      <c r="K511" s="9">
        <f t="shared" si="78"/>
        <v>18000</v>
      </c>
      <c r="L511" s="7">
        <v>3</v>
      </c>
      <c r="M511" s="9">
        <f t="shared" si="79"/>
        <v>54000</v>
      </c>
      <c r="N511" s="9">
        <f t="shared" si="80"/>
        <v>27000</v>
      </c>
      <c r="O511" s="7" t="s">
        <v>1007</v>
      </c>
      <c r="P511" s="10">
        <f t="shared" si="81"/>
        <v>0</v>
      </c>
      <c r="Q511" s="9">
        <f t="shared" si="82"/>
        <v>0</v>
      </c>
      <c r="R511" s="9">
        <f t="shared" si="83"/>
        <v>5000</v>
      </c>
      <c r="S511" s="9" t="str">
        <f t="shared" si="84"/>
        <v>Loss</v>
      </c>
      <c r="T511" s="7" t="str">
        <f t="shared" si="85"/>
        <v>Jan</v>
      </c>
      <c r="U511" s="7">
        <f t="shared" si="86"/>
        <v>2025</v>
      </c>
      <c r="V511" s="7" t="str">
        <f t="shared" si="87"/>
        <v>20-25</v>
      </c>
    </row>
    <row r="512" spans="1:22" x14ac:dyDescent="0.3">
      <c r="A512" s="7" t="s">
        <v>529</v>
      </c>
      <c r="B512" s="8" t="s">
        <v>1533</v>
      </c>
      <c r="C512" s="8">
        <v>55</v>
      </c>
      <c r="D512" s="8" t="s">
        <v>720</v>
      </c>
      <c r="E512" s="8" t="s">
        <v>726</v>
      </c>
      <c r="F512" s="7" t="s">
        <v>1729</v>
      </c>
      <c r="G512" s="7" t="s">
        <v>937</v>
      </c>
      <c r="H512" s="7" t="s">
        <v>888</v>
      </c>
      <c r="I512" s="7" t="s">
        <v>907</v>
      </c>
      <c r="J512" s="7">
        <f t="shared" si="77"/>
        <v>4</v>
      </c>
      <c r="K512" s="9">
        <f t="shared" si="78"/>
        <v>18000</v>
      </c>
      <c r="L512" s="7">
        <v>1</v>
      </c>
      <c r="M512" s="9">
        <f t="shared" si="79"/>
        <v>18000</v>
      </c>
      <c r="N512" s="9">
        <f t="shared" si="80"/>
        <v>9000</v>
      </c>
      <c r="O512" s="7" t="s">
        <v>1007</v>
      </c>
      <c r="P512" s="10">
        <f t="shared" si="81"/>
        <v>0</v>
      </c>
      <c r="Q512" s="9">
        <f t="shared" si="82"/>
        <v>0</v>
      </c>
      <c r="R512" s="9">
        <f t="shared" si="83"/>
        <v>5000</v>
      </c>
      <c r="S512" s="9" t="str">
        <f t="shared" si="84"/>
        <v>Loss</v>
      </c>
      <c r="T512" s="7" t="str">
        <f t="shared" si="85"/>
        <v>Mar</v>
      </c>
      <c r="U512" s="7">
        <f t="shared" si="86"/>
        <v>2025</v>
      </c>
      <c r="V512" s="7" t="str">
        <f t="shared" si="87"/>
        <v>55-60</v>
      </c>
    </row>
    <row r="513" spans="1:22" x14ac:dyDescent="0.3">
      <c r="A513" s="7" t="s">
        <v>530</v>
      </c>
      <c r="B513" s="8" t="s">
        <v>1534</v>
      </c>
      <c r="C513" s="8">
        <v>23</v>
      </c>
      <c r="D513" s="8" t="s">
        <v>720</v>
      </c>
      <c r="E513" s="8" t="s">
        <v>723</v>
      </c>
      <c r="F513" s="7" t="s">
        <v>728</v>
      </c>
      <c r="G513" s="7" t="s">
        <v>739</v>
      </c>
      <c r="H513" s="7" t="s">
        <v>942</v>
      </c>
      <c r="I513" s="7" t="s">
        <v>930</v>
      </c>
      <c r="J513" s="7">
        <f t="shared" si="77"/>
        <v>7</v>
      </c>
      <c r="K513" s="9">
        <f t="shared" si="78"/>
        <v>70000</v>
      </c>
      <c r="L513" s="7">
        <v>1</v>
      </c>
      <c r="M513" s="9">
        <f t="shared" si="79"/>
        <v>70000</v>
      </c>
      <c r="N513" s="9">
        <f t="shared" si="80"/>
        <v>42000</v>
      </c>
      <c r="O513" s="7" t="s">
        <v>1007</v>
      </c>
      <c r="P513" s="10">
        <f t="shared" si="81"/>
        <v>0</v>
      </c>
      <c r="Q513" s="9">
        <f t="shared" si="82"/>
        <v>0</v>
      </c>
      <c r="R513" s="9">
        <f t="shared" si="83"/>
        <v>5000</v>
      </c>
      <c r="S513" s="9" t="str">
        <f t="shared" si="84"/>
        <v>Loss</v>
      </c>
      <c r="T513" s="7" t="str">
        <f t="shared" si="85"/>
        <v>Jun</v>
      </c>
      <c r="U513" s="7">
        <f t="shared" si="86"/>
        <v>2025</v>
      </c>
      <c r="V513" s="7" t="str">
        <f t="shared" si="87"/>
        <v>20-25</v>
      </c>
    </row>
    <row r="514" spans="1:22" x14ac:dyDescent="0.3">
      <c r="A514" s="7" t="s">
        <v>531</v>
      </c>
      <c r="B514" s="8" t="s">
        <v>1535</v>
      </c>
      <c r="C514" s="8">
        <v>50</v>
      </c>
      <c r="D514" s="8" t="s">
        <v>720</v>
      </c>
      <c r="E514" s="8" t="s">
        <v>722</v>
      </c>
      <c r="F514" s="7" t="s">
        <v>727</v>
      </c>
      <c r="G514" s="7" t="s">
        <v>863</v>
      </c>
      <c r="H514" s="7" t="s">
        <v>762</v>
      </c>
      <c r="I514" s="7" t="s">
        <v>921</v>
      </c>
      <c r="J514" s="7">
        <f t="shared" si="77"/>
        <v>5</v>
      </c>
      <c r="K514" s="9">
        <f t="shared" si="78"/>
        <v>60000</v>
      </c>
      <c r="L514" s="7">
        <v>2</v>
      </c>
      <c r="M514" s="9">
        <f t="shared" si="79"/>
        <v>120000</v>
      </c>
      <c r="N514" s="9">
        <f t="shared" si="80"/>
        <v>78000</v>
      </c>
      <c r="O514" s="7" t="s">
        <v>1007</v>
      </c>
      <c r="P514" s="10">
        <f t="shared" si="81"/>
        <v>0</v>
      </c>
      <c r="Q514" s="9">
        <f t="shared" si="82"/>
        <v>0</v>
      </c>
      <c r="R514" s="9">
        <f t="shared" si="83"/>
        <v>5000</v>
      </c>
      <c r="S514" s="9" t="str">
        <f t="shared" si="84"/>
        <v>Loss</v>
      </c>
      <c r="T514" s="7" t="str">
        <f t="shared" si="85"/>
        <v>Feb</v>
      </c>
      <c r="U514" s="7">
        <f t="shared" si="86"/>
        <v>2025</v>
      </c>
      <c r="V514" s="7" t="str">
        <f t="shared" si="87"/>
        <v>50-55</v>
      </c>
    </row>
    <row r="515" spans="1:22" x14ac:dyDescent="0.3">
      <c r="A515" s="7" t="s">
        <v>532</v>
      </c>
      <c r="B515" s="8" t="s">
        <v>1536</v>
      </c>
      <c r="C515" s="8">
        <v>49</v>
      </c>
      <c r="D515" s="8" t="s">
        <v>721</v>
      </c>
      <c r="E515" s="8" t="s">
        <v>726</v>
      </c>
      <c r="F515" s="7" t="s">
        <v>1728</v>
      </c>
      <c r="G515" s="7" t="s">
        <v>813</v>
      </c>
      <c r="H515" s="7" t="s">
        <v>894</v>
      </c>
      <c r="I515" s="7" t="s">
        <v>852</v>
      </c>
      <c r="J515" s="7">
        <f t="shared" si="77"/>
        <v>4</v>
      </c>
      <c r="K515" s="9">
        <f t="shared" si="78"/>
        <v>18000</v>
      </c>
      <c r="L515" s="7">
        <v>2</v>
      </c>
      <c r="M515" s="9">
        <f t="shared" si="79"/>
        <v>36000</v>
      </c>
      <c r="N515" s="9">
        <f t="shared" si="80"/>
        <v>18000</v>
      </c>
      <c r="O515" s="7" t="s">
        <v>1006</v>
      </c>
      <c r="P515" s="10">
        <f t="shared" si="81"/>
        <v>0.05</v>
      </c>
      <c r="Q515" s="9">
        <f t="shared" si="82"/>
        <v>1800</v>
      </c>
      <c r="R515" s="9">
        <f t="shared" si="83"/>
        <v>34200</v>
      </c>
      <c r="S515" s="9" t="str">
        <f t="shared" si="84"/>
        <v>Profit</v>
      </c>
      <c r="T515" s="7" t="str">
        <f t="shared" si="85"/>
        <v>Mar</v>
      </c>
      <c r="U515" s="7">
        <f t="shared" si="86"/>
        <v>2025</v>
      </c>
      <c r="V515" s="7" t="str">
        <f t="shared" si="87"/>
        <v>45-50</v>
      </c>
    </row>
    <row r="516" spans="1:22" x14ac:dyDescent="0.3">
      <c r="A516" s="7" t="s">
        <v>533</v>
      </c>
      <c r="B516" s="8" t="s">
        <v>1537</v>
      </c>
      <c r="C516" s="8">
        <v>46</v>
      </c>
      <c r="D516" s="8" t="s">
        <v>721</v>
      </c>
      <c r="E516" s="8" t="s">
        <v>724</v>
      </c>
      <c r="F516" s="7" t="s">
        <v>730</v>
      </c>
      <c r="G516" s="7" t="s">
        <v>807</v>
      </c>
      <c r="H516" s="7" t="s">
        <v>825</v>
      </c>
      <c r="I516" s="7" t="s">
        <v>855</v>
      </c>
      <c r="J516" s="7">
        <f t="shared" ref="J516:J579" si="88">IF(E516="Adventure",5,IF(E516="Domestic",4,IF(E516="Family",7,IF(E516="Honeymoon",8,IF(E516="International",10,"")))))</f>
        <v>10</v>
      </c>
      <c r="K516" s="9">
        <f t="shared" ref="K516:K579" si="89">IF(E516="Adventure",60000,
IF(E516="Domestic",18000,
IF(E516="Family",70000,
IF(E516="Honeymoon",80000,
IF(E516="International",120000,"")))))</f>
        <v>120000</v>
      </c>
      <c r="L516" s="7">
        <v>2</v>
      </c>
      <c r="M516" s="9">
        <f t="shared" ref="M516:M579" si="90">K516*L516</f>
        <v>240000</v>
      </c>
      <c r="N516" s="9">
        <f t="shared" ref="N516:N579" si="91">IF(E516="Adventure",M516*65%,IF(E516="Domestic",M516*50%,IF(E516="Family",M516*60%,IF(E516="Honeymoon",M516*60%,IF(E516="International",M516*65%,0)))))</f>
        <v>156000</v>
      </c>
      <c r="O516" s="7" t="s">
        <v>1006</v>
      </c>
      <c r="P516" s="10">
        <f t="shared" ref="P516:P579" si="92">IF(O516="Cancelled",0,IF(E516="Domestic",5%,IF(E516="Adventure",10%,IF(E516="Family",7%,IF(E516="Honeymoon",12%,IF(E516="International",15%,0))))))</f>
        <v>0.15</v>
      </c>
      <c r="Q516" s="9">
        <f t="shared" ref="Q516:Q579" si="93">M516*P516</f>
        <v>36000</v>
      </c>
      <c r="R516" s="9">
        <f t="shared" ref="R516:R579" si="94">IF(O516="Cancelled",5000,M516-Q516)</f>
        <v>204000</v>
      </c>
      <c r="S516" s="9" t="str">
        <f t="shared" ref="S516:S579" si="95">IF(R516-N516&gt;5000,"Profit","Loss")</f>
        <v>Profit</v>
      </c>
      <c r="T516" s="7" t="str">
        <f t="shared" ref="T516:T579" si="96">TEXT(G516,"mmm")</f>
        <v>Feb</v>
      </c>
      <c r="U516" s="7">
        <f t="shared" ref="U516:U579" si="97">YEAR(G516)</f>
        <v>2025</v>
      </c>
      <c r="V516" s="7" t="str">
        <f t="shared" ref="V516:V579" si="98">FLOOR(C516,5) &amp; "-" &amp; FLOOR(C516,5)+5</f>
        <v>45-50</v>
      </c>
    </row>
    <row r="517" spans="1:22" x14ac:dyDescent="0.3">
      <c r="A517" s="7" t="s">
        <v>534</v>
      </c>
      <c r="B517" s="8" t="s">
        <v>1538</v>
      </c>
      <c r="C517" s="8">
        <v>21</v>
      </c>
      <c r="D517" s="8" t="s">
        <v>721</v>
      </c>
      <c r="E517" s="8" t="s">
        <v>726</v>
      </c>
      <c r="F517" s="7" t="s">
        <v>1730</v>
      </c>
      <c r="G517" s="7" t="s">
        <v>938</v>
      </c>
      <c r="H517" s="7" t="s">
        <v>769</v>
      </c>
      <c r="I517" s="7" t="s">
        <v>861</v>
      </c>
      <c r="J517" s="7">
        <f t="shared" si="88"/>
        <v>4</v>
      </c>
      <c r="K517" s="9">
        <f t="shared" si="89"/>
        <v>18000</v>
      </c>
      <c r="L517" s="7">
        <v>4</v>
      </c>
      <c r="M517" s="9">
        <f t="shared" si="90"/>
        <v>72000</v>
      </c>
      <c r="N517" s="9">
        <f t="shared" si="91"/>
        <v>36000</v>
      </c>
      <c r="O517" s="7" t="s">
        <v>1006</v>
      </c>
      <c r="P517" s="10">
        <f t="shared" si="92"/>
        <v>0.05</v>
      </c>
      <c r="Q517" s="9">
        <f t="shared" si="93"/>
        <v>3600</v>
      </c>
      <c r="R517" s="9">
        <f t="shared" si="94"/>
        <v>68400</v>
      </c>
      <c r="S517" s="9" t="str">
        <f t="shared" si="95"/>
        <v>Profit</v>
      </c>
      <c r="T517" s="7" t="str">
        <f t="shared" si="96"/>
        <v>Jan</v>
      </c>
      <c r="U517" s="7">
        <f t="shared" si="97"/>
        <v>2025</v>
      </c>
      <c r="V517" s="7" t="str">
        <f t="shared" si="98"/>
        <v>20-25</v>
      </c>
    </row>
    <row r="518" spans="1:22" x14ac:dyDescent="0.3">
      <c r="A518" s="7" t="s">
        <v>535</v>
      </c>
      <c r="B518" s="8" t="s">
        <v>1539</v>
      </c>
      <c r="C518" s="8">
        <v>57</v>
      </c>
      <c r="D518" s="8" t="s">
        <v>720</v>
      </c>
      <c r="E518" s="8" t="s">
        <v>726</v>
      </c>
      <c r="F518" s="7" t="s">
        <v>728</v>
      </c>
      <c r="G518" s="7" t="s">
        <v>837</v>
      </c>
      <c r="H518" s="7" t="s">
        <v>992</v>
      </c>
      <c r="I518" s="7" t="s">
        <v>823</v>
      </c>
      <c r="J518" s="7">
        <f t="shared" si="88"/>
        <v>4</v>
      </c>
      <c r="K518" s="9">
        <f t="shared" si="89"/>
        <v>18000</v>
      </c>
      <c r="L518" s="7">
        <v>4</v>
      </c>
      <c r="M518" s="9">
        <f t="shared" si="90"/>
        <v>72000</v>
      </c>
      <c r="N518" s="9">
        <f t="shared" si="91"/>
        <v>36000</v>
      </c>
      <c r="O518" s="7" t="s">
        <v>1007</v>
      </c>
      <c r="P518" s="10">
        <f t="shared" si="92"/>
        <v>0</v>
      </c>
      <c r="Q518" s="9">
        <f t="shared" si="93"/>
        <v>0</v>
      </c>
      <c r="R518" s="9">
        <f t="shared" si="94"/>
        <v>5000</v>
      </c>
      <c r="S518" s="9" t="str">
        <f t="shared" si="95"/>
        <v>Loss</v>
      </c>
      <c r="T518" s="7" t="str">
        <f t="shared" si="96"/>
        <v>Jan</v>
      </c>
      <c r="U518" s="7">
        <f t="shared" si="97"/>
        <v>2025</v>
      </c>
      <c r="V518" s="7" t="str">
        <f t="shared" si="98"/>
        <v>55-60</v>
      </c>
    </row>
    <row r="519" spans="1:22" x14ac:dyDescent="0.3">
      <c r="A519" s="7" t="s">
        <v>536</v>
      </c>
      <c r="B519" s="8" t="s">
        <v>1540</v>
      </c>
      <c r="C519" s="8">
        <v>40</v>
      </c>
      <c r="D519" s="8" t="s">
        <v>721</v>
      </c>
      <c r="E519" s="8" t="s">
        <v>724</v>
      </c>
      <c r="F519" s="7" t="s">
        <v>727</v>
      </c>
      <c r="G519" s="7" t="s">
        <v>784</v>
      </c>
      <c r="H519" s="7" t="s">
        <v>786</v>
      </c>
      <c r="I519" s="7" t="s">
        <v>891</v>
      </c>
      <c r="J519" s="7">
        <f t="shared" si="88"/>
        <v>10</v>
      </c>
      <c r="K519" s="9">
        <f t="shared" si="89"/>
        <v>120000</v>
      </c>
      <c r="L519" s="7">
        <v>3</v>
      </c>
      <c r="M519" s="9">
        <f t="shared" si="90"/>
        <v>360000</v>
      </c>
      <c r="N519" s="9">
        <f t="shared" si="91"/>
        <v>234000</v>
      </c>
      <c r="O519" s="7" t="s">
        <v>1007</v>
      </c>
      <c r="P519" s="10">
        <f t="shared" si="92"/>
        <v>0</v>
      </c>
      <c r="Q519" s="9">
        <f t="shared" si="93"/>
        <v>0</v>
      </c>
      <c r="R519" s="9">
        <f t="shared" si="94"/>
        <v>5000</v>
      </c>
      <c r="S519" s="9" t="str">
        <f t="shared" si="95"/>
        <v>Loss</v>
      </c>
      <c r="T519" s="7" t="str">
        <f t="shared" si="96"/>
        <v>Jun</v>
      </c>
      <c r="U519" s="7">
        <f t="shared" si="97"/>
        <v>2025</v>
      </c>
      <c r="V519" s="7" t="str">
        <f t="shared" si="98"/>
        <v>40-45</v>
      </c>
    </row>
    <row r="520" spans="1:22" x14ac:dyDescent="0.3">
      <c r="A520" s="7" t="s">
        <v>537</v>
      </c>
      <c r="B520" s="8" t="s">
        <v>1541</v>
      </c>
      <c r="C520" s="8">
        <v>24</v>
      </c>
      <c r="D520" s="8" t="s">
        <v>721</v>
      </c>
      <c r="E520" s="8" t="s">
        <v>725</v>
      </c>
      <c r="F520" s="7" t="s">
        <v>733</v>
      </c>
      <c r="G520" s="7" t="s">
        <v>935</v>
      </c>
      <c r="H520" s="7" t="s">
        <v>854</v>
      </c>
      <c r="I520" s="7" t="s">
        <v>789</v>
      </c>
      <c r="J520" s="7">
        <f t="shared" si="88"/>
        <v>8</v>
      </c>
      <c r="K520" s="9">
        <f t="shared" si="89"/>
        <v>80000</v>
      </c>
      <c r="L520" s="7">
        <v>3</v>
      </c>
      <c r="M520" s="9">
        <f t="shared" si="90"/>
        <v>240000</v>
      </c>
      <c r="N520" s="9">
        <f t="shared" si="91"/>
        <v>144000</v>
      </c>
      <c r="O520" s="7" t="s">
        <v>1007</v>
      </c>
      <c r="P520" s="10">
        <f t="shared" si="92"/>
        <v>0</v>
      </c>
      <c r="Q520" s="9">
        <f t="shared" si="93"/>
        <v>0</v>
      </c>
      <c r="R520" s="9">
        <f t="shared" si="94"/>
        <v>5000</v>
      </c>
      <c r="S520" s="9" t="str">
        <f t="shared" si="95"/>
        <v>Loss</v>
      </c>
      <c r="T520" s="7" t="str">
        <f t="shared" si="96"/>
        <v>Apr</v>
      </c>
      <c r="U520" s="7">
        <f t="shared" si="97"/>
        <v>2025</v>
      </c>
      <c r="V520" s="7" t="str">
        <f t="shared" si="98"/>
        <v>20-25</v>
      </c>
    </row>
    <row r="521" spans="1:22" x14ac:dyDescent="0.3">
      <c r="A521" s="7" t="s">
        <v>538</v>
      </c>
      <c r="B521" s="8" t="s">
        <v>1542</v>
      </c>
      <c r="C521" s="8">
        <v>58</v>
      </c>
      <c r="D521" s="8" t="s">
        <v>721</v>
      </c>
      <c r="E521" s="8" t="s">
        <v>724</v>
      </c>
      <c r="F521" s="7" t="s">
        <v>1736</v>
      </c>
      <c r="G521" s="7" t="s">
        <v>933</v>
      </c>
      <c r="H521" s="7" t="s">
        <v>788</v>
      </c>
      <c r="I521" s="7" t="s">
        <v>823</v>
      </c>
      <c r="J521" s="7">
        <f t="shared" si="88"/>
        <v>10</v>
      </c>
      <c r="K521" s="9">
        <f t="shared" si="89"/>
        <v>120000</v>
      </c>
      <c r="L521" s="7">
        <v>1</v>
      </c>
      <c r="M521" s="9">
        <f t="shared" si="90"/>
        <v>120000</v>
      </c>
      <c r="N521" s="9">
        <f t="shared" si="91"/>
        <v>78000</v>
      </c>
      <c r="O521" s="7" t="s">
        <v>1006</v>
      </c>
      <c r="P521" s="10">
        <f t="shared" si="92"/>
        <v>0.15</v>
      </c>
      <c r="Q521" s="9">
        <f t="shared" si="93"/>
        <v>18000</v>
      </c>
      <c r="R521" s="9">
        <f t="shared" si="94"/>
        <v>102000</v>
      </c>
      <c r="S521" s="9" t="str">
        <f t="shared" si="95"/>
        <v>Profit</v>
      </c>
      <c r="T521" s="7" t="str">
        <f t="shared" si="96"/>
        <v>Feb</v>
      </c>
      <c r="U521" s="7">
        <f t="shared" si="97"/>
        <v>2025</v>
      </c>
      <c r="V521" s="7" t="str">
        <f t="shared" si="98"/>
        <v>55-60</v>
      </c>
    </row>
    <row r="522" spans="1:22" x14ac:dyDescent="0.3">
      <c r="A522" s="7" t="s">
        <v>539</v>
      </c>
      <c r="B522" s="8" t="s">
        <v>1543</v>
      </c>
      <c r="C522" s="8">
        <v>24</v>
      </c>
      <c r="D522" s="8" t="s">
        <v>720</v>
      </c>
      <c r="E522" s="8" t="s">
        <v>724</v>
      </c>
      <c r="F522" s="7" t="s">
        <v>727</v>
      </c>
      <c r="G522" s="7" t="s">
        <v>902</v>
      </c>
      <c r="H522" s="7" t="s">
        <v>802</v>
      </c>
      <c r="I522" s="7" t="s">
        <v>851</v>
      </c>
      <c r="J522" s="7">
        <f t="shared" si="88"/>
        <v>10</v>
      </c>
      <c r="K522" s="9">
        <f t="shared" si="89"/>
        <v>120000</v>
      </c>
      <c r="L522" s="7">
        <v>4</v>
      </c>
      <c r="M522" s="9">
        <f t="shared" si="90"/>
        <v>480000</v>
      </c>
      <c r="N522" s="9">
        <f t="shared" si="91"/>
        <v>312000</v>
      </c>
      <c r="O522" s="7" t="s">
        <v>1006</v>
      </c>
      <c r="P522" s="10">
        <f t="shared" si="92"/>
        <v>0.15</v>
      </c>
      <c r="Q522" s="9">
        <f t="shared" si="93"/>
        <v>72000</v>
      </c>
      <c r="R522" s="9">
        <f t="shared" si="94"/>
        <v>408000</v>
      </c>
      <c r="S522" s="9" t="str">
        <f t="shared" si="95"/>
        <v>Profit</v>
      </c>
      <c r="T522" s="7" t="str">
        <f t="shared" si="96"/>
        <v>Jan</v>
      </c>
      <c r="U522" s="7">
        <f t="shared" si="97"/>
        <v>2025</v>
      </c>
      <c r="V522" s="7" t="str">
        <f t="shared" si="98"/>
        <v>20-25</v>
      </c>
    </row>
    <row r="523" spans="1:22" x14ac:dyDescent="0.3">
      <c r="A523" s="7" t="s">
        <v>540</v>
      </c>
      <c r="B523" s="8" t="s">
        <v>1544</v>
      </c>
      <c r="C523" s="8">
        <v>18</v>
      </c>
      <c r="D523" s="8" t="s">
        <v>720</v>
      </c>
      <c r="E523" s="8" t="s">
        <v>723</v>
      </c>
      <c r="F523" s="7" t="s">
        <v>730</v>
      </c>
      <c r="G523" s="7" t="s">
        <v>798</v>
      </c>
      <c r="H523" s="7" t="s">
        <v>972</v>
      </c>
      <c r="I523" s="7" t="s">
        <v>855</v>
      </c>
      <c r="J523" s="7">
        <f t="shared" si="88"/>
        <v>7</v>
      </c>
      <c r="K523" s="9">
        <f t="shared" si="89"/>
        <v>70000</v>
      </c>
      <c r="L523" s="7">
        <v>1</v>
      </c>
      <c r="M523" s="9">
        <f t="shared" si="90"/>
        <v>70000</v>
      </c>
      <c r="N523" s="9">
        <f t="shared" si="91"/>
        <v>42000</v>
      </c>
      <c r="O523" s="7" t="s">
        <v>1006</v>
      </c>
      <c r="P523" s="10">
        <f t="shared" si="92"/>
        <v>7.0000000000000007E-2</v>
      </c>
      <c r="Q523" s="9">
        <f t="shared" si="93"/>
        <v>4900.0000000000009</v>
      </c>
      <c r="R523" s="9">
        <f t="shared" si="94"/>
        <v>65100</v>
      </c>
      <c r="S523" s="9" t="str">
        <f t="shared" si="95"/>
        <v>Profit</v>
      </c>
      <c r="T523" s="7" t="str">
        <f t="shared" si="96"/>
        <v>Feb</v>
      </c>
      <c r="U523" s="7">
        <f t="shared" si="97"/>
        <v>2025</v>
      </c>
      <c r="V523" s="7" t="str">
        <f t="shared" si="98"/>
        <v>15-20</v>
      </c>
    </row>
    <row r="524" spans="1:22" x14ac:dyDescent="0.3">
      <c r="A524" s="7" t="s">
        <v>541</v>
      </c>
      <c r="B524" s="8" t="s">
        <v>1545</v>
      </c>
      <c r="C524" s="8">
        <v>31</v>
      </c>
      <c r="D524" s="8" t="s">
        <v>721</v>
      </c>
      <c r="E524" s="8" t="s">
        <v>725</v>
      </c>
      <c r="F524" s="7" t="s">
        <v>732</v>
      </c>
      <c r="G524" s="7" t="s">
        <v>821</v>
      </c>
      <c r="H524" s="7" t="s">
        <v>944</v>
      </c>
      <c r="I524" s="7" t="s">
        <v>794</v>
      </c>
      <c r="J524" s="7">
        <f t="shared" si="88"/>
        <v>8</v>
      </c>
      <c r="K524" s="9">
        <f t="shared" si="89"/>
        <v>80000</v>
      </c>
      <c r="L524" s="7">
        <v>2</v>
      </c>
      <c r="M524" s="9">
        <f t="shared" si="90"/>
        <v>160000</v>
      </c>
      <c r="N524" s="9">
        <f t="shared" si="91"/>
        <v>96000</v>
      </c>
      <c r="O524" s="7" t="s">
        <v>1006</v>
      </c>
      <c r="P524" s="10">
        <f t="shared" si="92"/>
        <v>0.12</v>
      </c>
      <c r="Q524" s="9">
        <f t="shared" si="93"/>
        <v>19200</v>
      </c>
      <c r="R524" s="9">
        <f t="shared" si="94"/>
        <v>140800</v>
      </c>
      <c r="S524" s="9" t="str">
        <f t="shared" si="95"/>
        <v>Profit</v>
      </c>
      <c r="T524" s="7" t="str">
        <f t="shared" si="96"/>
        <v>Jan</v>
      </c>
      <c r="U524" s="7">
        <f t="shared" si="97"/>
        <v>2025</v>
      </c>
      <c r="V524" s="7" t="str">
        <f t="shared" si="98"/>
        <v>30-35</v>
      </c>
    </row>
    <row r="525" spans="1:22" x14ac:dyDescent="0.3">
      <c r="A525" s="7" t="s">
        <v>542</v>
      </c>
      <c r="B525" s="8" t="s">
        <v>1546</v>
      </c>
      <c r="C525" s="8">
        <v>39</v>
      </c>
      <c r="D525" s="8" t="s">
        <v>721</v>
      </c>
      <c r="E525" s="8" t="s">
        <v>726</v>
      </c>
      <c r="F525" s="7" t="s">
        <v>728</v>
      </c>
      <c r="G525" s="7" t="s">
        <v>939</v>
      </c>
      <c r="H525" s="7" t="s">
        <v>984</v>
      </c>
      <c r="I525" s="7" t="s">
        <v>838</v>
      </c>
      <c r="J525" s="7">
        <f t="shared" si="88"/>
        <v>4</v>
      </c>
      <c r="K525" s="9">
        <f t="shared" si="89"/>
        <v>18000</v>
      </c>
      <c r="L525" s="7">
        <v>1</v>
      </c>
      <c r="M525" s="9">
        <f t="shared" si="90"/>
        <v>18000</v>
      </c>
      <c r="N525" s="9">
        <f t="shared" si="91"/>
        <v>9000</v>
      </c>
      <c r="O525" s="7" t="s">
        <v>1006</v>
      </c>
      <c r="P525" s="10">
        <f t="shared" si="92"/>
        <v>0.05</v>
      </c>
      <c r="Q525" s="9">
        <f t="shared" si="93"/>
        <v>900</v>
      </c>
      <c r="R525" s="9">
        <f t="shared" si="94"/>
        <v>17100</v>
      </c>
      <c r="S525" s="9" t="str">
        <f t="shared" si="95"/>
        <v>Profit</v>
      </c>
      <c r="T525" s="7" t="str">
        <f t="shared" si="96"/>
        <v>Jul</v>
      </c>
      <c r="U525" s="7">
        <f t="shared" si="97"/>
        <v>2025</v>
      </c>
      <c r="V525" s="7" t="str">
        <f t="shared" si="98"/>
        <v>35-40</v>
      </c>
    </row>
    <row r="526" spans="1:22" x14ac:dyDescent="0.3">
      <c r="A526" s="7" t="s">
        <v>543</v>
      </c>
      <c r="B526" s="8" t="s">
        <v>1547</v>
      </c>
      <c r="C526" s="8">
        <v>44</v>
      </c>
      <c r="D526" s="8" t="s">
        <v>721</v>
      </c>
      <c r="E526" s="8" t="s">
        <v>722</v>
      </c>
      <c r="F526" s="7" t="s">
        <v>727</v>
      </c>
      <c r="G526" s="7" t="s">
        <v>780</v>
      </c>
      <c r="H526" s="7" t="s">
        <v>866</v>
      </c>
      <c r="I526" s="7" t="s">
        <v>895</v>
      </c>
      <c r="J526" s="7">
        <f t="shared" si="88"/>
        <v>5</v>
      </c>
      <c r="K526" s="9">
        <f t="shared" si="89"/>
        <v>60000</v>
      </c>
      <c r="L526" s="7">
        <v>2</v>
      </c>
      <c r="M526" s="9">
        <f t="shared" si="90"/>
        <v>120000</v>
      </c>
      <c r="N526" s="9">
        <f t="shared" si="91"/>
        <v>78000</v>
      </c>
      <c r="O526" s="7" t="s">
        <v>1006</v>
      </c>
      <c r="P526" s="10">
        <f t="shared" si="92"/>
        <v>0.1</v>
      </c>
      <c r="Q526" s="9">
        <f t="shared" si="93"/>
        <v>12000</v>
      </c>
      <c r="R526" s="9">
        <f t="shared" si="94"/>
        <v>108000</v>
      </c>
      <c r="S526" s="9" t="str">
        <f t="shared" si="95"/>
        <v>Profit</v>
      </c>
      <c r="T526" s="7" t="str">
        <f t="shared" si="96"/>
        <v>Jul</v>
      </c>
      <c r="U526" s="7">
        <f t="shared" si="97"/>
        <v>2025</v>
      </c>
      <c r="V526" s="7" t="str">
        <f t="shared" si="98"/>
        <v>40-45</v>
      </c>
    </row>
    <row r="527" spans="1:22" x14ac:dyDescent="0.3">
      <c r="A527" s="7" t="s">
        <v>544</v>
      </c>
      <c r="B527" s="8" t="s">
        <v>1548</v>
      </c>
      <c r="C527" s="8">
        <v>32</v>
      </c>
      <c r="D527" s="8" t="s">
        <v>721</v>
      </c>
      <c r="E527" s="8" t="s">
        <v>725</v>
      </c>
      <c r="F527" s="7" t="s">
        <v>727</v>
      </c>
      <c r="G527" s="7" t="s">
        <v>866</v>
      </c>
      <c r="H527" s="7" t="s">
        <v>982</v>
      </c>
      <c r="I527" s="7" t="s">
        <v>1000</v>
      </c>
      <c r="J527" s="7">
        <f t="shared" si="88"/>
        <v>8</v>
      </c>
      <c r="K527" s="9">
        <f t="shared" si="89"/>
        <v>80000</v>
      </c>
      <c r="L527" s="7">
        <v>2</v>
      </c>
      <c r="M527" s="9">
        <f t="shared" si="90"/>
        <v>160000</v>
      </c>
      <c r="N527" s="9">
        <f t="shared" si="91"/>
        <v>96000</v>
      </c>
      <c r="O527" s="7" t="s">
        <v>1006</v>
      </c>
      <c r="P527" s="10">
        <f t="shared" si="92"/>
        <v>0.12</v>
      </c>
      <c r="Q527" s="9">
        <f t="shared" si="93"/>
        <v>19200</v>
      </c>
      <c r="R527" s="9">
        <f t="shared" si="94"/>
        <v>140800</v>
      </c>
      <c r="S527" s="9" t="str">
        <f t="shared" si="95"/>
        <v>Profit</v>
      </c>
      <c r="T527" s="7" t="str">
        <f t="shared" si="96"/>
        <v>Aug</v>
      </c>
      <c r="U527" s="7">
        <f t="shared" si="97"/>
        <v>2025</v>
      </c>
      <c r="V527" s="7" t="str">
        <f t="shared" si="98"/>
        <v>30-35</v>
      </c>
    </row>
    <row r="528" spans="1:22" x14ac:dyDescent="0.3">
      <c r="A528" s="7" t="s">
        <v>545</v>
      </c>
      <c r="B528" s="8" t="s">
        <v>1549</v>
      </c>
      <c r="C528" s="8">
        <v>24</v>
      </c>
      <c r="D528" s="8" t="s">
        <v>721</v>
      </c>
      <c r="E528" s="8" t="s">
        <v>725</v>
      </c>
      <c r="F528" s="7" t="s">
        <v>733</v>
      </c>
      <c r="G528" s="7" t="s">
        <v>940</v>
      </c>
      <c r="H528" s="7" t="s">
        <v>827</v>
      </c>
      <c r="I528" s="7" t="s">
        <v>960</v>
      </c>
      <c r="J528" s="7">
        <f t="shared" si="88"/>
        <v>8</v>
      </c>
      <c r="K528" s="9">
        <f t="shared" si="89"/>
        <v>80000</v>
      </c>
      <c r="L528" s="7">
        <v>2</v>
      </c>
      <c r="M528" s="9">
        <f t="shared" si="90"/>
        <v>160000</v>
      </c>
      <c r="N528" s="9">
        <f t="shared" si="91"/>
        <v>96000</v>
      </c>
      <c r="O528" s="7" t="s">
        <v>1007</v>
      </c>
      <c r="P528" s="10">
        <f t="shared" si="92"/>
        <v>0</v>
      </c>
      <c r="Q528" s="9">
        <f t="shared" si="93"/>
        <v>0</v>
      </c>
      <c r="R528" s="9">
        <f t="shared" si="94"/>
        <v>5000</v>
      </c>
      <c r="S528" s="9" t="str">
        <f t="shared" si="95"/>
        <v>Loss</v>
      </c>
      <c r="T528" s="7" t="str">
        <f t="shared" si="96"/>
        <v>Mar</v>
      </c>
      <c r="U528" s="7">
        <f t="shared" si="97"/>
        <v>2025</v>
      </c>
      <c r="V528" s="7" t="str">
        <f t="shared" si="98"/>
        <v>20-25</v>
      </c>
    </row>
    <row r="529" spans="1:22" x14ac:dyDescent="0.3">
      <c r="A529" s="7" t="s">
        <v>546</v>
      </c>
      <c r="B529" s="8" t="s">
        <v>1550</v>
      </c>
      <c r="C529" s="8">
        <v>26</v>
      </c>
      <c r="D529" s="8" t="s">
        <v>721</v>
      </c>
      <c r="E529" s="8" t="s">
        <v>725</v>
      </c>
      <c r="F529" s="7" t="s">
        <v>1730</v>
      </c>
      <c r="G529" s="7" t="s">
        <v>936</v>
      </c>
      <c r="H529" s="7" t="s">
        <v>877</v>
      </c>
      <c r="I529" s="7" t="s">
        <v>896</v>
      </c>
      <c r="J529" s="7">
        <f t="shared" si="88"/>
        <v>8</v>
      </c>
      <c r="K529" s="9">
        <f t="shared" si="89"/>
        <v>80000</v>
      </c>
      <c r="L529" s="7">
        <v>2</v>
      </c>
      <c r="M529" s="9">
        <f t="shared" si="90"/>
        <v>160000</v>
      </c>
      <c r="N529" s="9">
        <f t="shared" si="91"/>
        <v>96000</v>
      </c>
      <c r="O529" s="7" t="s">
        <v>1006</v>
      </c>
      <c r="P529" s="10">
        <f t="shared" si="92"/>
        <v>0.12</v>
      </c>
      <c r="Q529" s="9">
        <f t="shared" si="93"/>
        <v>19200</v>
      </c>
      <c r="R529" s="9">
        <f t="shared" si="94"/>
        <v>140800</v>
      </c>
      <c r="S529" s="9" t="str">
        <f t="shared" si="95"/>
        <v>Profit</v>
      </c>
      <c r="T529" s="7" t="str">
        <f t="shared" si="96"/>
        <v>Feb</v>
      </c>
      <c r="U529" s="7">
        <f t="shared" si="97"/>
        <v>2025</v>
      </c>
      <c r="V529" s="7" t="str">
        <f t="shared" si="98"/>
        <v>25-30</v>
      </c>
    </row>
    <row r="530" spans="1:22" x14ac:dyDescent="0.3">
      <c r="A530" s="7" t="s">
        <v>547</v>
      </c>
      <c r="B530" s="8" t="s">
        <v>1551</v>
      </c>
      <c r="C530" s="8">
        <v>25</v>
      </c>
      <c r="D530" s="8" t="s">
        <v>720</v>
      </c>
      <c r="E530" s="8" t="s">
        <v>725</v>
      </c>
      <c r="F530" s="7" t="s">
        <v>1730</v>
      </c>
      <c r="G530" s="7" t="s">
        <v>941</v>
      </c>
      <c r="H530" s="7" t="s">
        <v>830</v>
      </c>
      <c r="I530" s="7" t="s">
        <v>841</v>
      </c>
      <c r="J530" s="7">
        <f t="shared" si="88"/>
        <v>8</v>
      </c>
      <c r="K530" s="9">
        <f t="shared" si="89"/>
        <v>80000</v>
      </c>
      <c r="L530" s="7">
        <v>2</v>
      </c>
      <c r="M530" s="9">
        <f t="shared" si="90"/>
        <v>160000</v>
      </c>
      <c r="N530" s="9">
        <f t="shared" si="91"/>
        <v>96000</v>
      </c>
      <c r="O530" s="7" t="s">
        <v>1006</v>
      </c>
      <c r="P530" s="10">
        <f t="shared" si="92"/>
        <v>0.12</v>
      </c>
      <c r="Q530" s="9">
        <f t="shared" si="93"/>
        <v>19200</v>
      </c>
      <c r="R530" s="9">
        <f t="shared" si="94"/>
        <v>140800</v>
      </c>
      <c r="S530" s="9" t="str">
        <f t="shared" si="95"/>
        <v>Profit</v>
      </c>
      <c r="T530" s="7" t="str">
        <f t="shared" si="96"/>
        <v>Aug</v>
      </c>
      <c r="U530" s="7">
        <f t="shared" si="97"/>
        <v>2025</v>
      </c>
      <c r="V530" s="7" t="str">
        <f t="shared" si="98"/>
        <v>25-30</v>
      </c>
    </row>
    <row r="531" spans="1:22" x14ac:dyDescent="0.3">
      <c r="A531" s="7" t="s">
        <v>548</v>
      </c>
      <c r="B531" s="8" t="s">
        <v>1552</v>
      </c>
      <c r="C531" s="8">
        <v>60</v>
      </c>
      <c r="D531" s="8" t="s">
        <v>720</v>
      </c>
      <c r="E531" s="8" t="s">
        <v>724</v>
      </c>
      <c r="F531" s="7" t="s">
        <v>727</v>
      </c>
      <c r="G531" s="7" t="s">
        <v>942</v>
      </c>
      <c r="H531" s="7" t="s">
        <v>836</v>
      </c>
      <c r="I531" s="7" t="s">
        <v>917</v>
      </c>
      <c r="J531" s="7">
        <f t="shared" si="88"/>
        <v>10</v>
      </c>
      <c r="K531" s="9">
        <f t="shared" si="89"/>
        <v>120000</v>
      </c>
      <c r="L531" s="7">
        <v>3</v>
      </c>
      <c r="M531" s="9">
        <f t="shared" si="90"/>
        <v>360000</v>
      </c>
      <c r="N531" s="9">
        <f t="shared" si="91"/>
        <v>234000</v>
      </c>
      <c r="O531" s="7" t="s">
        <v>1006</v>
      </c>
      <c r="P531" s="10">
        <f t="shared" si="92"/>
        <v>0.15</v>
      </c>
      <c r="Q531" s="9">
        <f t="shared" si="93"/>
        <v>54000</v>
      </c>
      <c r="R531" s="9">
        <f t="shared" si="94"/>
        <v>306000</v>
      </c>
      <c r="S531" s="9" t="str">
        <f t="shared" si="95"/>
        <v>Profit</v>
      </c>
      <c r="T531" s="7" t="str">
        <f t="shared" si="96"/>
        <v>Jul</v>
      </c>
      <c r="U531" s="7">
        <f t="shared" si="97"/>
        <v>2025</v>
      </c>
      <c r="V531" s="7" t="str">
        <f t="shared" si="98"/>
        <v>60-65</v>
      </c>
    </row>
    <row r="532" spans="1:22" x14ac:dyDescent="0.3">
      <c r="A532" s="7" t="s">
        <v>549</v>
      </c>
      <c r="B532" s="8" t="s">
        <v>1553</v>
      </c>
      <c r="C532" s="8">
        <v>33</v>
      </c>
      <c r="D532" s="8" t="s">
        <v>720</v>
      </c>
      <c r="E532" s="8" t="s">
        <v>724</v>
      </c>
      <c r="F532" s="7" t="s">
        <v>1735</v>
      </c>
      <c r="G532" s="7" t="s">
        <v>860</v>
      </c>
      <c r="H532" s="7" t="s">
        <v>752</v>
      </c>
      <c r="I532" s="7" t="s">
        <v>963</v>
      </c>
      <c r="J532" s="7">
        <f t="shared" si="88"/>
        <v>10</v>
      </c>
      <c r="K532" s="9">
        <f t="shared" si="89"/>
        <v>120000</v>
      </c>
      <c r="L532" s="7">
        <v>4</v>
      </c>
      <c r="M532" s="9">
        <f t="shared" si="90"/>
        <v>480000</v>
      </c>
      <c r="N532" s="9">
        <f t="shared" si="91"/>
        <v>312000</v>
      </c>
      <c r="O532" s="7" t="s">
        <v>1007</v>
      </c>
      <c r="P532" s="10">
        <f t="shared" si="92"/>
        <v>0</v>
      </c>
      <c r="Q532" s="9">
        <f t="shared" si="93"/>
        <v>0</v>
      </c>
      <c r="R532" s="9">
        <f t="shared" si="94"/>
        <v>5000</v>
      </c>
      <c r="S532" s="9" t="str">
        <f t="shared" si="95"/>
        <v>Loss</v>
      </c>
      <c r="T532" s="7" t="str">
        <f t="shared" si="96"/>
        <v>Apr</v>
      </c>
      <c r="U532" s="7">
        <f t="shared" si="97"/>
        <v>2025</v>
      </c>
      <c r="V532" s="7" t="str">
        <f t="shared" si="98"/>
        <v>30-35</v>
      </c>
    </row>
    <row r="533" spans="1:22" x14ac:dyDescent="0.3">
      <c r="A533" s="7" t="s">
        <v>550</v>
      </c>
      <c r="B533" s="8" t="s">
        <v>1554</v>
      </c>
      <c r="C533" s="8">
        <v>41</v>
      </c>
      <c r="D533" s="8" t="s">
        <v>721</v>
      </c>
      <c r="E533" s="8" t="s">
        <v>723</v>
      </c>
      <c r="F533" s="7" t="s">
        <v>731</v>
      </c>
      <c r="G533" s="7" t="s">
        <v>800</v>
      </c>
      <c r="H533" s="7" t="s">
        <v>812</v>
      </c>
      <c r="I533" s="7" t="s">
        <v>913</v>
      </c>
      <c r="J533" s="7">
        <f t="shared" si="88"/>
        <v>7</v>
      </c>
      <c r="K533" s="9">
        <f t="shared" si="89"/>
        <v>70000</v>
      </c>
      <c r="L533" s="7">
        <v>3</v>
      </c>
      <c r="M533" s="9">
        <f t="shared" si="90"/>
        <v>210000</v>
      </c>
      <c r="N533" s="9">
        <f t="shared" si="91"/>
        <v>126000</v>
      </c>
      <c r="O533" s="7" t="s">
        <v>1007</v>
      </c>
      <c r="P533" s="10">
        <f t="shared" si="92"/>
        <v>0</v>
      </c>
      <c r="Q533" s="9">
        <f t="shared" si="93"/>
        <v>0</v>
      </c>
      <c r="R533" s="9">
        <f t="shared" si="94"/>
        <v>5000</v>
      </c>
      <c r="S533" s="9" t="str">
        <f t="shared" si="95"/>
        <v>Loss</v>
      </c>
      <c r="T533" s="7" t="str">
        <f t="shared" si="96"/>
        <v>Jun</v>
      </c>
      <c r="U533" s="7">
        <f t="shared" si="97"/>
        <v>2025</v>
      </c>
      <c r="V533" s="7" t="str">
        <f t="shared" si="98"/>
        <v>40-45</v>
      </c>
    </row>
    <row r="534" spans="1:22" x14ac:dyDescent="0.3">
      <c r="A534" s="7" t="s">
        <v>551</v>
      </c>
      <c r="B534" s="8" t="s">
        <v>1555</v>
      </c>
      <c r="C534" s="8">
        <v>57</v>
      </c>
      <c r="D534" s="8" t="s">
        <v>720</v>
      </c>
      <c r="E534" s="8" t="s">
        <v>726</v>
      </c>
      <c r="F534" s="7" t="s">
        <v>1730</v>
      </c>
      <c r="G534" s="7" t="s">
        <v>943</v>
      </c>
      <c r="H534" s="7" t="s">
        <v>839</v>
      </c>
      <c r="I534" s="7" t="s">
        <v>898</v>
      </c>
      <c r="J534" s="7">
        <f t="shared" si="88"/>
        <v>4</v>
      </c>
      <c r="K534" s="9">
        <f t="shared" si="89"/>
        <v>18000</v>
      </c>
      <c r="L534" s="7">
        <v>2</v>
      </c>
      <c r="M534" s="9">
        <f t="shared" si="90"/>
        <v>36000</v>
      </c>
      <c r="N534" s="9">
        <f t="shared" si="91"/>
        <v>18000</v>
      </c>
      <c r="O534" s="7" t="s">
        <v>1007</v>
      </c>
      <c r="P534" s="10">
        <f t="shared" si="92"/>
        <v>0</v>
      </c>
      <c r="Q534" s="9">
        <f t="shared" si="93"/>
        <v>0</v>
      </c>
      <c r="R534" s="9">
        <f t="shared" si="94"/>
        <v>5000</v>
      </c>
      <c r="S534" s="9" t="str">
        <f t="shared" si="95"/>
        <v>Loss</v>
      </c>
      <c r="T534" s="7" t="str">
        <f t="shared" si="96"/>
        <v>Jul</v>
      </c>
      <c r="U534" s="7">
        <f t="shared" si="97"/>
        <v>2025</v>
      </c>
      <c r="V534" s="7" t="str">
        <f t="shared" si="98"/>
        <v>55-60</v>
      </c>
    </row>
    <row r="535" spans="1:22" x14ac:dyDescent="0.3">
      <c r="A535" s="7" t="s">
        <v>552</v>
      </c>
      <c r="B535" s="8" t="s">
        <v>1556</v>
      </c>
      <c r="C535" s="8">
        <v>47</v>
      </c>
      <c r="D535" s="8" t="s">
        <v>720</v>
      </c>
      <c r="E535" s="8" t="s">
        <v>726</v>
      </c>
      <c r="F535" s="7" t="s">
        <v>1730</v>
      </c>
      <c r="G535" s="7" t="s">
        <v>910</v>
      </c>
      <c r="H535" s="7" t="s">
        <v>959</v>
      </c>
      <c r="I535" s="7" t="s">
        <v>759</v>
      </c>
      <c r="J535" s="7">
        <f t="shared" si="88"/>
        <v>4</v>
      </c>
      <c r="K535" s="9">
        <f t="shared" si="89"/>
        <v>18000</v>
      </c>
      <c r="L535" s="7">
        <v>2</v>
      </c>
      <c r="M535" s="9">
        <f t="shared" si="90"/>
        <v>36000</v>
      </c>
      <c r="N535" s="9">
        <f t="shared" si="91"/>
        <v>18000</v>
      </c>
      <c r="O535" s="7" t="s">
        <v>1006</v>
      </c>
      <c r="P535" s="10">
        <f t="shared" si="92"/>
        <v>0.05</v>
      </c>
      <c r="Q535" s="9">
        <f t="shared" si="93"/>
        <v>1800</v>
      </c>
      <c r="R535" s="9">
        <f t="shared" si="94"/>
        <v>34200</v>
      </c>
      <c r="S535" s="9" t="str">
        <f t="shared" si="95"/>
        <v>Profit</v>
      </c>
      <c r="T535" s="7" t="str">
        <f t="shared" si="96"/>
        <v>Jun</v>
      </c>
      <c r="U535" s="7">
        <f t="shared" si="97"/>
        <v>2025</v>
      </c>
      <c r="V535" s="7" t="str">
        <f t="shared" si="98"/>
        <v>45-50</v>
      </c>
    </row>
    <row r="536" spans="1:22" x14ac:dyDescent="0.3">
      <c r="A536" s="7" t="s">
        <v>553</v>
      </c>
      <c r="B536" s="8" t="s">
        <v>1557</v>
      </c>
      <c r="C536" s="8">
        <v>44</v>
      </c>
      <c r="D536" s="8" t="s">
        <v>720</v>
      </c>
      <c r="E536" s="8" t="s">
        <v>726</v>
      </c>
      <c r="F536" s="7" t="s">
        <v>1733</v>
      </c>
      <c r="G536" s="7" t="s">
        <v>930</v>
      </c>
      <c r="H536" s="7" t="s">
        <v>872</v>
      </c>
      <c r="I536" s="7" t="s">
        <v>949</v>
      </c>
      <c r="J536" s="7">
        <f t="shared" si="88"/>
        <v>4</v>
      </c>
      <c r="K536" s="9">
        <f t="shared" si="89"/>
        <v>18000</v>
      </c>
      <c r="L536" s="7">
        <v>4</v>
      </c>
      <c r="M536" s="9">
        <f t="shared" si="90"/>
        <v>72000</v>
      </c>
      <c r="N536" s="9">
        <f t="shared" si="91"/>
        <v>36000</v>
      </c>
      <c r="O536" s="7" t="s">
        <v>1006</v>
      </c>
      <c r="P536" s="10">
        <f t="shared" si="92"/>
        <v>0.05</v>
      </c>
      <c r="Q536" s="9">
        <f t="shared" si="93"/>
        <v>3600</v>
      </c>
      <c r="R536" s="9">
        <f t="shared" si="94"/>
        <v>68400</v>
      </c>
      <c r="S536" s="9" t="str">
        <f t="shared" si="95"/>
        <v>Profit</v>
      </c>
      <c r="T536" s="7" t="str">
        <f t="shared" si="96"/>
        <v>Jul</v>
      </c>
      <c r="U536" s="7">
        <f t="shared" si="97"/>
        <v>2025</v>
      </c>
      <c r="V536" s="7" t="str">
        <f t="shared" si="98"/>
        <v>40-45</v>
      </c>
    </row>
    <row r="537" spans="1:22" x14ac:dyDescent="0.3">
      <c r="A537" s="7" t="s">
        <v>554</v>
      </c>
      <c r="B537" s="8" t="s">
        <v>1558</v>
      </c>
      <c r="C537" s="8">
        <v>20</v>
      </c>
      <c r="D537" s="8" t="s">
        <v>721</v>
      </c>
      <c r="E537" s="8" t="s">
        <v>723</v>
      </c>
      <c r="F537" s="7" t="s">
        <v>728</v>
      </c>
      <c r="G537" s="7" t="s">
        <v>811</v>
      </c>
      <c r="H537" s="7" t="s">
        <v>987</v>
      </c>
      <c r="I537" s="7" t="s">
        <v>998</v>
      </c>
      <c r="J537" s="7">
        <f t="shared" si="88"/>
        <v>7</v>
      </c>
      <c r="K537" s="9">
        <f t="shared" si="89"/>
        <v>70000</v>
      </c>
      <c r="L537" s="7">
        <v>2</v>
      </c>
      <c r="M537" s="9">
        <f t="shared" si="90"/>
        <v>140000</v>
      </c>
      <c r="N537" s="9">
        <f t="shared" si="91"/>
        <v>84000</v>
      </c>
      <c r="O537" s="7" t="s">
        <v>1006</v>
      </c>
      <c r="P537" s="10">
        <f t="shared" si="92"/>
        <v>7.0000000000000007E-2</v>
      </c>
      <c r="Q537" s="9">
        <f t="shared" si="93"/>
        <v>9800.0000000000018</v>
      </c>
      <c r="R537" s="9">
        <f t="shared" si="94"/>
        <v>130200</v>
      </c>
      <c r="S537" s="9" t="str">
        <f t="shared" si="95"/>
        <v>Profit</v>
      </c>
      <c r="T537" s="7" t="str">
        <f t="shared" si="96"/>
        <v>Aug</v>
      </c>
      <c r="U537" s="7">
        <f t="shared" si="97"/>
        <v>2025</v>
      </c>
      <c r="V537" s="7" t="str">
        <f t="shared" si="98"/>
        <v>20-25</v>
      </c>
    </row>
    <row r="538" spans="1:22" x14ac:dyDescent="0.3">
      <c r="A538" s="7" t="s">
        <v>555</v>
      </c>
      <c r="B538" s="8" t="s">
        <v>1559</v>
      </c>
      <c r="C538" s="8">
        <v>28</v>
      </c>
      <c r="D538" s="8" t="s">
        <v>720</v>
      </c>
      <c r="E538" s="8" t="s">
        <v>725</v>
      </c>
      <c r="F538" s="7" t="s">
        <v>1730</v>
      </c>
      <c r="G538" s="7" t="s">
        <v>765</v>
      </c>
      <c r="H538" s="7" t="s">
        <v>757</v>
      </c>
      <c r="I538" s="7" t="s">
        <v>812</v>
      </c>
      <c r="J538" s="7">
        <f t="shared" si="88"/>
        <v>8</v>
      </c>
      <c r="K538" s="9">
        <f t="shared" si="89"/>
        <v>80000</v>
      </c>
      <c r="L538" s="7">
        <v>2</v>
      </c>
      <c r="M538" s="9">
        <f t="shared" si="90"/>
        <v>160000</v>
      </c>
      <c r="N538" s="9">
        <f t="shared" si="91"/>
        <v>96000</v>
      </c>
      <c r="O538" s="7" t="s">
        <v>1007</v>
      </c>
      <c r="P538" s="10">
        <f t="shared" si="92"/>
        <v>0</v>
      </c>
      <c r="Q538" s="9">
        <f t="shared" si="93"/>
        <v>0</v>
      </c>
      <c r="R538" s="9">
        <f t="shared" si="94"/>
        <v>5000</v>
      </c>
      <c r="S538" s="9" t="str">
        <f t="shared" si="95"/>
        <v>Loss</v>
      </c>
      <c r="T538" s="7" t="str">
        <f t="shared" si="96"/>
        <v>Jun</v>
      </c>
      <c r="U538" s="7">
        <f t="shared" si="97"/>
        <v>2025</v>
      </c>
      <c r="V538" s="7" t="str">
        <f t="shared" si="98"/>
        <v>25-30</v>
      </c>
    </row>
    <row r="539" spans="1:22" x14ac:dyDescent="0.3">
      <c r="A539" s="7" t="s">
        <v>556</v>
      </c>
      <c r="B539" s="8" t="s">
        <v>1560</v>
      </c>
      <c r="C539" s="8">
        <v>59</v>
      </c>
      <c r="D539" s="8" t="s">
        <v>721</v>
      </c>
      <c r="E539" s="8" t="s">
        <v>722</v>
      </c>
      <c r="F539" s="7" t="s">
        <v>727</v>
      </c>
      <c r="G539" s="7" t="s">
        <v>944</v>
      </c>
      <c r="H539" s="7" t="s">
        <v>819</v>
      </c>
      <c r="I539" s="7" t="s">
        <v>938</v>
      </c>
      <c r="J539" s="7">
        <f t="shared" si="88"/>
        <v>5</v>
      </c>
      <c r="K539" s="9">
        <f t="shared" si="89"/>
        <v>60000</v>
      </c>
      <c r="L539" s="7">
        <v>2</v>
      </c>
      <c r="M539" s="9">
        <f t="shared" si="90"/>
        <v>120000</v>
      </c>
      <c r="N539" s="9">
        <f t="shared" si="91"/>
        <v>78000</v>
      </c>
      <c r="O539" s="7" t="s">
        <v>1006</v>
      </c>
      <c r="P539" s="10">
        <f t="shared" si="92"/>
        <v>0.1</v>
      </c>
      <c r="Q539" s="9">
        <f t="shared" si="93"/>
        <v>12000</v>
      </c>
      <c r="R539" s="9">
        <f t="shared" si="94"/>
        <v>108000</v>
      </c>
      <c r="S539" s="9" t="str">
        <f t="shared" si="95"/>
        <v>Profit</v>
      </c>
      <c r="T539" s="7" t="str">
        <f t="shared" si="96"/>
        <v>Jan</v>
      </c>
      <c r="U539" s="7">
        <f t="shared" si="97"/>
        <v>2025</v>
      </c>
      <c r="V539" s="7" t="str">
        <f t="shared" si="98"/>
        <v>55-60</v>
      </c>
    </row>
    <row r="540" spans="1:22" x14ac:dyDescent="0.3">
      <c r="A540" s="7" t="s">
        <v>557</v>
      </c>
      <c r="B540" s="8" t="s">
        <v>1561</v>
      </c>
      <c r="C540" s="8">
        <v>18</v>
      </c>
      <c r="D540" s="8" t="s">
        <v>721</v>
      </c>
      <c r="E540" s="8" t="s">
        <v>724</v>
      </c>
      <c r="F540" s="7" t="s">
        <v>729</v>
      </c>
      <c r="G540" s="7" t="s">
        <v>847</v>
      </c>
      <c r="H540" s="7" t="s">
        <v>780</v>
      </c>
      <c r="I540" s="7" t="s">
        <v>954</v>
      </c>
      <c r="J540" s="7">
        <f t="shared" si="88"/>
        <v>10</v>
      </c>
      <c r="K540" s="9">
        <f t="shared" si="89"/>
        <v>120000</v>
      </c>
      <c r="L540" s="7">
        <v>2</v>
      </c>
      <c r="M540" s="9">
        <f t="shared" si="90"/>
        <v>240000</v>
      </c>
      <c r="N540" s="9">
        <f t="shared" si="91"/>
        <v>156000</v>
      </c>
      <c r="O540" s="7" t="s">
        <v>1006</v>
      </c>
      <c r="P540" s="10">
        <f t="shared" si="92"/>
        <v>0.15</v>
      </c>
      <c r="Q540" s="9">
        <f t="shared" si="93"/>
        <v>36000</v>
      </c>
      <c r="R540" s="9">
        <f t="shared" si="94"/>
        <v>204000</v>
      </c>
      <c r="S540" s="9" t="str">
        <f t="shared" si="95"/>
        <v>Profit</v>
      </c>
      <c r="T540" s="7" t="str">
        <f t="shared" si="96"/>
        <v>Jul</v>
      </c>
      <c r="U540" s="7">
        <f t="shared" si="97"/>
        <v>2025</v>
      </c>
      <c r="V540" s="7" t="str">
        <f t="shared" si="98"/>
        <v>15-20</v>
      </c>
    </row>
    <row r="541" spans="1:22" x14ac:dyDescent="0.3">
      <c r="A541" s="7" t="s">
        <v>558</v>
      </c>
      <c r="B541" s="8" t="s">
        <v>1562</v>
      </c>
      <c r="C541" s="8">
        <v>43</v>
      </c>
      <c r="D541" s="8" t="s">
        <v>720</v>
      </c>
      <c r="E541" s="8" t="s">
        <v>724</v>
      </c>
      <c r="F541" s="7" t="s">
        <v>733</v>
      </c>
      <c r="G541" s="7" t="s">
        <v>780</v>
      </c>
      <c r="H541" s="7" t="s">
        <v>898</v>
      </c>
      <c r="I541" s="7" t="s">
        <v>792</v>
      </c>
      <c r="J541" s="7">
        <f t="shared" si="88"/>
        <v>10</v>
      </c>
      <c r="K541" s="9">
        <f t="shared" si="89"/>
        <v>120000</v>
      </c>
      <c r="L541" s="7">
        <v>3</v>
      </c>
      <c r="M541" s="9">
        <f t="shared" si="90"/>
        <v>360000</v>
      </c>
      <c r="N541" s="9">
        <f t="shared" si="91"/>
        <v>234000</v>
      </c>
      <c r="O541" s="7" t="s">
        <v>1006</v>
      </c>
      <c r="P541" s="10">
        <f t="shared" si="92"/>
        <v>0.15</v>
      </c>
      <c r="Q541" s="9">
        <f t="shared" si="93"/>
        <v>54000</v>
      </c>
      <c r="R541" s="9">
        <f t="shared" si="94"/>
        <v>306000</v>
      </c>
      <c r="S541" s="9" t="str">
        <f t="shared" si="95"/>
        <v>Profit</v>
      </c>
      <c r="T541" s="7" t="str">
        <f t="shared" si="96"/>
        <v>Jul</v>
      </c>
      <c r="U541" s="7">
        <f t="shared" si="97"/>
        <v>2025</v>
      </c>
      <c r="V541" s="7" t="str">
        <f t="shared" si="98"/>
        <v>40-45</v>
      </c>
    </row>
    <row r="542" spans="1:22" x14ac:dyDescent="0.3">
      <c r="A542" s="7" t="s">
        <v>559</v>
      </c>
      <c r="B542" s="8" t="s">
        <v>1563</v>
      </c>
      <c r="C542" s="8">
        <v>28</v>
      </c>
      <c r="D542" s="8" t="s">
        <v>721</v>
      </c>
      <c r="E542" s="8" t="s">
        <v>722</v>
      </c>
      <c r="F542" s="7" t="s">
        <v>734</v>
      </c>
      <c r="G542" s="7" t="s">
        <v>930</v>
      </c>
      <c r="H542" s="7" t="s">
        <v>949</v>
      </c>
      <c r="I542" s="7" t="s">
        <v>984</v>
      </c>
      <c r="J542" s="7">
        <f t="shared" si="88"/>
        <v>5</v>
      </c>
      <c r="K542" s="9">
        <f t="shared" si="89"/>
        <v>60000</v>
      </c>
      <c r="L542" s="7">
        <v>2</v>
      </c>
      <c r="M542" s="9">
        <f t="shared" si="90"/>
        <v>120000</v>
      </c>
      <c r="N542" s="9">
        <f t="shared" si="91"/>
        <v>78000</v>
      </c>
      <c r="O542" s="7" t="s">
        <v>1007</v>
      </c>
      <c r="P542" s="10">
        <f t="shared" si="92"/>
        <v>0</v>
      </c>
      <c r="Q542" s="9">
        <f t="shared" si="93"/>
        <v>0</v>
      </c>
      <c r="R542" s="9">
        <f t="shared" si="94"/>
        <v>5000</v>
      </c>
      <c r="S542" s="9" t="str">
        <f t="shared" si="95"/>
        <v>Loss</v>
      </c>
      <c r="T542" s="7" t="str">
        <f t="shared" si="96"/>
        <v>Jul</v>
      </c>
      <c r="U542" s="7">
        <f t="shared" si="97"/>
        <v>2025</v>
      </c>
      <c r="V542" s="7" t="str">
        <f t="shared" si="98"/>
        <v>25-30</v>
      </c>
    </row>
    <row r="543" spans="1:22" x14ac:dyDescent="0.3">
      <c r="A543" s="7" t="s">
        <v>560</v>
      </c>
      <c r="B543" s="8" t="s">
        <v>1564</v>
      </c>
      <c r="C543" s="8">
        <v>41</v>
      </c>
      <c r="D543" s="8" t="s">
        <v>721</v>
      </c>
      <c r="E543" s="8" t="s">
        <v>724</v>
      </c>
      <c r="F543" s="7" t="s">
        <v>733</v>
      </c>
      <c r="G543" s="7" t="s">
        <v>910</v>
      </c>
      <c r="H543" s="7" t="s">
        <v>759</v>
      </c>
      <c r="I543" s="7" t="s">
        <v>780</v>
      </c>
      <c r="J543" s="7">
        <f t="shared" si="88"/>
        <v>10</v>
      </c>
      <c r="K543" s="9">
        <f t="shared" si="89"/>
        <v>120000</v>
      </c>
      <c r="L543" s="7">
        <v>2</v>
      </c>
      <c r="M543" s="9">
        <f t="shared" si="90"/>
        <v>240000</v>
      </c>
      <c r="N543" s="9">
        <f t="shared" si="91"/>
        <v>156000</v>
      </c>
      <c r="O543" s="7" t="s">
        <v>1006</v>
      </c>
      <c r="P543" s="10">
        <f t="shared" si="92"/>
        <v>0.15</v>
      </c>
      <c r="Q543" s="9">
        <f t="shared" si="93"/>
        <v>36000</v>
      </c>
      <c r="R543" s="9">
        <f t="shared" si="94"/>
        <v>204000</v>
      </c>
      <c r="S543" s="9" t="str">
        <f t="shared" si="95"/>
        <v>Profit</v>
      </c>
      <c r="T543" s="7" t="str">
        <f t="shared" si="96"/>
        <v>Jun</v>
      </c>
      <c r="U543" s="7">
        <f t="shared" si="97"/>
        <v>2025</v>
      </c>
      <c r="V543" s="7" t="str">
        <f t="shared" si="98"/>
        <v>40-45</v>
      </c>
    </row>
    <row r="544" spans="1:22" x14ac:dyDescent="0.3">
      <c r="A544" s="7" t="s">
        <v>561</v>
      </c>
      <c r="B544" s="8" t="s">
        <v>1565</v>
      </c>
      <c r="C544" s="8">
        <v>31</v>
      </c>
      <c r="D544" s="8" t="s">
        <v>720</v>
      </c>
      <c r="E544" s="8" t="s">
        <v>725</v>
      </c>
      <c r="F544" s="7" t="s">
        <v>730</v>
      </c>
      <c r="G544" s="7" t="s">
        <v>862</v>
      </c>
      <c r="H544" s="7" t="s">
        <v>819</v>
      </c>
      <c r="I544" s="7" t="s">
        <v>791</v>
      </c>
      <c r="J544" s="7">
        <f t="shared" si="88"/>
        <v>8</v>
      </c>
      <c r="K544" s="9">
        <f t="shared" si="89"/>
        <v>80000</v>
      </c>
      <c r="L544" s="7">
        <v>2</v>
      </c>
      <c r="M544" s="9">
        <f t="shared" si="90"/>
        <v>160000</v>
      </c>
      <c r="N544" s="9">
        <f t="shared" si="91"/>
        <v>96000</v>
      </c>
      <c r="O544" s="7" t="s">
        <v>1007</v>
      </c>
      <c r="P544" s="10">
        <f t="shared" si="92"/>
        <v>0</v>
      </c>
      <c r="Q544" s="9">
        <f t="shared" si="93"/>
        <v>0</v>
      </c>
      <c r="R544" s="9">
        <f t="shared" si="94"/>
        <v>5000</v>
      </c>
      <c r="S544" s="9" t="str">
        <f t="shared" si="95"/>
        <v>Loss</v>
      </c>
      <c r="T544" s="7" t="str">
        <f t="shared" si="96"/>
        <v>Jan</v>
      </c>
      <c r="U544" s="7">
        <f t="shared" si="97"/>
        <v>2025</v>
      </c>
      <c r="V544" s="7" t="str">
        <f t="shared" si="98"/>
        <v>30-35</v>
      </c>
    </row>
    <row r="545" spans="1:22" x14ac:dyDescent="0.3">
      <c r="A545" s="7" t="s">
        <v>562</v>
      </c>
      <c r="B545" s="8" t="s">
        <v>1566</v>
      </c>
      <c r="C545" s="8">
        <v>41</v>
      </c>
      <c r="D545" s="8" t="s">
        <v>720</v>
      </c>
      <c r="E545" s="8" t="s">
        <v>724</v>
      </c>
      <c r="F545" s="7" t="s">
        <v>735</v>
      </c>
      <c r="G545" s="7" t="s">
        <v>884</v>
      </c>
      <c r="H545" s="7" t="s">
        <v>870</v>
      </c>
      <c r="I545" s="7" t="s">
        <v>953</v>
      </c>
      <c r="J545" s="7">
        <f t="shared" si="88"/>
        <v>10</v>
      </c>
      <c r="K545" s="9">
        <f t="shared" si="89"/>
        <v>120000</v>
      </c>
      <c r="L545" s="7">
        <v>4</v>
      </c>
      <c r="M545" s="9">
        <f t="shared" si="90"/>
        <v>480000</v>
      </c>
      <c r="N545" s="9">
        <f t="shared" si="91"/>
        <v>312000</v>
      </c>
      <c r="O545" s="7" t="s">
        <v>1007</v>
      </c>
      <c r="P545" s="10">
        <f t="shared" si="92"/>
        <v>0</v>
      </c>
      <c r="Q545" s="9">
        <f t="shared" si="93"/>
        <v>0</v>
      </c>
      <c r="R545" s="9">
        <f t="shared" si="94"/>
        <v>5000</v>
      </c>
      <c r="S545" s="9" t="str">
        <f t="shared" si="95"/>
        <v>Loss</v>
      </c>
      <c r="T545" s="7" t="str">
        <f t="shared" si="96"/>
        <v>Apr</v>
      </c>
      <c r="U545" s="7">
        <f t="shared" si="97"/>
        <v>2025</v>
      </c>
      <c r="V545" s="7" t="str">
        <f t="shared" si="98"/>
        <v>40-45</v>
      </c>
    </row>
    <row r="546" spans="1:22" x14ac:dyDescent="0.3">
      <c r="A546" s="7" t="s">
        <v>563</v>
      </c>
      <c r="B546" s="8" t="s">
        <v>1567</v>
      </c>
      <c r="C546" s="8">
        <v>28</v>
      </c>
      <c r="D546" s="8" t="s">
        <v>721</v>
      </c>
      <c r="E546" s="8" t="s">
        <v>725</v>
      </c>
      <c r="F546" s="7" t="s">
        <v>734</v>
      </c>
      <c r="G546" s="7" t="s">
        <v>883</v>
      </c>
      <c r="H546" s="7" t="s">
        <v>784</v>
      </c>
      <c r="I546" s="7" t="s">
        <v>952</v>
      </c>
      <c r="J546" s="7">
        <f t="shared" si="88"/>
        <v>8</v>
      </c>
      <c r="K546" s="9">
        <f t="shared" si="89"/>
        <v>80000</v>
      </c>
      <c r="L546" s="7">
        <v>2</v>
      </c>
      <c r="M546" s="9">
        <f t="shared" si="90"/>
        <v>160000</v>
      </c>
      <c r="N546" s="9">
        <f t="shared" si="91"/>
        <v>96000</v>
      </c>
      <c r="O546" s="7" t="s">
        <v>1007</v>
      </c>
      <c r="P546" s="10">
        <f t="shared" si="92"/>
        <v>0</v>
      </c>
      <c r="Q546" s="9">
        <f t="shared" si="93"/>
        <v>0</v>
      </c>
      <c r="R546" s="9">
        <f t="shared" si="94"/>
        <v>5000</v>
      </c>
      <c r="S546" s="9" t="str">
        <f t="shared" si="95"/>
        <v>Loss</v>
      </c>
      <c r="T546" s="7" t="str">
        <f t="shared" si="96"/>
        <v>May</v>
      </c>
      <c r="U546" s="7">
        <f t="shared" si="97"/>
        <v>2025</v>
      </c>
      <c r="V546" s="7" t="str">
        <f t="shared" si="98"/>
        <v>25-30</v>
      </c>
    </row>
    <row r="547" spans="1:22" x14ac:dyDescent="0.3">
      <c r="A547" s="7" t="s">
        <v>564</v>
      </c>
      <c r="B547" s="8" t="s">
        <v>1568</v>
      </c>
      <c r="C547" s="8">
        <v>20</v>
      </c>
      <c r="D547" s="8" t="s">
        <v>720</v>
      </c>
      <c r="E547" s="8" t="s">
        <v>723</v>
      </c>
      <c r="F547" s="7" t="s">
        <v>727</v>
      </c>
      <c r="G547" s="7" t="s">
        <v>869</v>
      </c>
      <c r="H547" s="7" t="s">
        <v>833</v>
      </c>
      <c r="I547" s="7" t="s">
        <v>962</v>
      </c>
      <c r="J547" s="7">
        <f t="shared" si="88"/>
        <v>7</v>
      </c>
      <c r="K547" s="9">
        <f t="shared" si="89"/>
        <v>70000</v>
      </c>
      <c r="L547" s="7">
        <v>2</v>
      </c>
      <c r="M547" s="9">
        <f t="shared" si="90"/>
        <v>140000</v>
      </c>
      <c r="N547" s="9">
        <f t="shared" si="91"/>
        <v>84000</v>
      </c>
      <c r="O547" s="7" t="s">
        <v>1006</v>
      </c>
      <c r="P547" s="10">
        <f t="shared" si="92"/>
        <v>7.0000000000000007E-2</v>
      </c>
      <c r="Q547" s="9">
        <f t="shared" si="93"/>
        <v>9800.0000000000018</v>
      </c>
      <c r="R547" s="9">
        <f t="shared" si="94"/>
        <v>130200</v>
      </c>
      <c r="S547" s="9" t="str">
        <f t="shared" si="95"/>
        <v>Profit</v>
      </c>
      <c r="T547" s="7" t="str">
        <f t="shared" si="96"/>
        <v>May</v>
      </c>
      <c r="U547" s="7">
        <f t="shared" si="97"/>
        <v>2025</v>
      </c>
      <c r="V547" s="7" t="str">
        <f t="shared" si="98"/>
        <v>20-25</v>
      </c>
    </row>
    <row r="548" spans="1:22" x14ac:dyDescent="0.3">
      <c r="A548" s="7" t="s">
        <v>565</v>
      </c>
      <c r="B548" s="8" t="s">
        <v>1569</v>
      </c>
      <c r="C548" s="8">
        <v>50</v>
      </c>
      <c r="D548" s="8" t="s">
        <v>720</v>
      </c>
      <c r="E548" s="8" t="s">
        <v>726</v>
      </c>
      <c r="F548" s="7" t="s">
        <v>1731</v>
      </c>
      <c r="G548" s="7" t="s">
        <v>935</v>
      </c>
      <c r="H548" s="7" t="s">
        <v>782</v>
      </c>
      <c r="I548" s="7" t="s">
        <v>903</v>
      </c>
      <c r="J548" s="7">
        <f t="shared" si="88"/>
        <v>4</v>
      </c>
      <c r="K548" s="9">
        <f t="shared" si="89"/>
        <v>18000</v>
      </c>
      <c r="L548" s="7">
        <v>4</v>
      </c>
      <c r="M548" s="9">
        <f t="shared" si="90"/>
        <v>72000</v>
      </c>
      <c r="N548" s="9">
        <f t="shared" si="91"/>
        <v>36000</v>
      </c>
      <c r="O548" s="7" t="s">
        <v>1007</v>
      </c>
      <c r="P548" s="10">
        <f t="shared" si="92"/>
        <v>0</v>
      </c>
      <c r="Q548" s="9">
        <f t="shared" si="93"/>
        <v>0</v>
      </c>
      <c r="R548" s="9">
        <f t="shared" si="94"/>
        <v>5000</v>
      </c>
      <c r="S548" s="9" t="str">
        <f t="shared" si="95"/>
        <v>Loss</v>
      </c>
      <c r="T548" s="7" t="str">
        <f t="shared" si="96"/>
        <v>Apr</v>
      </c>
      <c r="U548" s="7">
        <f t="shared" si="97"/>
        <v>2025</v>
      </c>
      <c r="V548" s="7" t="str">
        <f t="shared" si="98"/>
        <v>50-55</v>
      </c>
    </row>
    <row r="549" spans="1:22" x14ac:dyDescent="0.3">
      <c r="A549" s="7" t="s">
        <v>566</v>
      </c>
      <c r="B549" s="8" t="s">
        <v>1570</v>
      </c>
      <c r="C549" s="8">
        <v>36</v>
      </c>
      <c r="D549" s="8" t="s">
        <v>721</v>
      </c>
      <c r="E549" s="8" t="s">
        <v>722</v>
      </c>
      <c r="F549" s="7" t="s">
        <v>727</v>
      </c>
      <c r="G549" s="7" t="s">
        <v>745</v>
      </c>
      <c r="H549" s="7" t="s">
        <v>826</v>
      </c>
      <c r="I549" s="7" t="s">
        <v>964</v>
      </c>
      <c r="J549" s="7">
        <f t="shared" si="88"/>
        <v>5</v>
      </c>
      <c r="K549" s="9">
        <f t="shared" si="89"/>
        <v>60000</v>
      </c>
      <c r="L549" s="7">
        <v>1</v>
      </c>
      <c r="M549" s="9">
        <f t="shared" si="90"/>
        <v>60000</v>
      </c>
      <c r="N549" s="9">
        <f t="shared" si="91"/>
        <v>39000</v>
      </c>
      <c r="O549" s="7" t="s">
        <v>1006</v>
      </c>
      <c r="P549" s="10">
        <f t="shared" si="92"/>
        <v>0.1</v>
      </c>
      <c r="Q549" s="9">
        <f t="shared" si="93"/>
        <v>6000</v>
      </c>
      <c r="R549" s="9">
        <f t="shared" si="94"/>
        <v>54000</v>
      </c>
      <c r="S549" s="9" t="str">
        <f t="shared" si="95"/>
        <v>Profit</v>
      </c>
      <c r="T549" s="7" t="str">
        <f t="shared" si="96"/>
        <v>Jun</v>
      </c>
      <c r="U549" s="7">
        <f t="shared" si="97"/>
        <v>2025</v>
      </c>
      <c r="V549" s="7" t="str">
        <f t="shared" si="98"/>
        <v>35-40</v>
      </c>
    </row>
    <row r="550" spans="1:22" x14ac:dyDescent="0.3">
      <c r="A550" s="7" t="s">
        <v>567</v>
      </c>
      <c r="B550" s="8" t="s">
        <v>1571</v>
      </c>
      <c r="C550" s="8">
        <v>31</v>
      </c>
      <c r="D550" s="8" t="s">
        <v>721</v>
      </c>
      <c r="E550" s="8" t="s">
        <v>725</v>
      </c>
      <c r="F550" s="7" t="s">
        <v>732</v>
      </c>
      <c r="G550" s="7" t="s">
        <v>903</v>
      </c>
      <c r="H550" s="7" t="s">
        <v>783</v>
      </c>
      <c r="I550" s="7" t="s">
        <v>979</v>
      </c>
      <c r="J550" s="7">
        <f t="shared" si="88"/>
        <v>8</v>
      </c>
      <c r="K550" s="9">
        <f t="shared" si="89"/>
        <v>80000</v>
      </c>
      <c r="L550" s="7">
        <v>2</v>
      </c>
      <c r="M550" s="9">
        <f t="shared" si="90"/>
        <v>160000</v>
      </c>
      <c r="N550" s="9">
        <f t="shared" si="91"/>
        <v>96000</v>
      </c>
      <c r="O550" s="7" t="s">
        <v>1006</v>
      </c>
      <c r="P550" s="10">
        <f t="shared" si="92"/>
        <v>0.12</v>
      </c>
      <c r="Q550" s="9">
        <f t="shared" si="93"/>
        <v>19200</v>
      </c>
      <c r="R550" s="9">
        <f t="shared" si="94"/>
        <v>140800</v>
      </c>
      <c r="S550" s="9" t="str">
        <f t="shared" si="95"/>
        <v>Profit</v>
      </c>
      <c r="T550" s="7" t="str">
        <f t="shared" si="96"/>
        <v>May</v>
      </c>
      <c r="U550" s="7">
        <f t="shared" si="97"/>
        <v>2025</v>
      </c>
      <c r="V550" s="7" t="str">
        <f t="shared" si="98"/>
        <v>30-35</v>
      </c>
    </row>
    <row r="551" spans="1:22" x14ac:dyDescent="0.3">
      <c r="A551" s="7" t="s">
        <v>568</v>
      </c>
      <c r="B551" s="8" t="s">
        <v>1572</v>
      </c>
      <c r="C551" s="8">
        <v>34</v>
      </c>
      <c r="D551" s="8" t="s">
        <v>720</v>
      </c>
      <c r="E551" s="8" t="s">
        <v>726</v>
      </c>
      <c r="F551" s="7" t="s">
        <v>731</v>
      </c>
      <c r="G551" s="7" t="s">
        <v>924</v>
      </c>
      <c r="H551" s="7" t="s">
        <v>764</v>
      </c>
      <c r="I551" s="7" t="s">
        <v>959</v>
      </c>
      <c r="J551" s="7">
        <f t="shared" si="88"/>
        <v>4</v>
      </c>
      <c r="K551" s="9">
        <f t="shared" si="89"/>
        <v>18000</v>
      </c>
      <c r="L551" s="7">
        <v>3</v>
      </c>
      <c r="M551" s="9">
        <f t="shared" si="90"/>
        <v>54000</v>
      </c>
      <c r="N551" s="9">
        <f t="shared" si="91"/>
        <v>27000</v>
      </c>
      <c r="O551" s="7" t="s">
        <v>1006</v>
      </c>
      <c r="P551" s="10">
        <f t="shared" si="92"/>
        <v>0.05</v>
      </c>
      <c r="Q551" s="9">
        <f t="shared" si="93"/>
        <v>2700</v>
      </c>
      <c r="R551" s="9">
        <f t="shared" si="94"/>
        <v>51300</v>
      </c>
      <c r="S551" s="9" t="str">
        <f t="shared" si="95"/>
        <v>Profit</v>
      </c>
      <c r="T551" s="7" t="str">
        <f t="shared" si="96"/>
        <v>Jun</v>
      </c>
      <c r="U551" s="7">
        <f t="shared" si="97"/>
        <v>2025</v>
      </c>
      <c r="V551" s="7" t="str">
        <f t="shared" si="98"/>
        <v>30-35</v>
      </c>
    </row>
    <row r="552" spans="1:22" x14ac:dyDescent="0.3">
      <c r="A552" s="7" t="s">
        <v>569</v>
      </c>
      <c r="B552" s="8" t="s">
        <v>1573</v>
      </c>
      <c r="C552" s="8">
        <v>23</v>
      </c>
      <c r="D552" s="8" t="s">
        <v>721</v>
      </c>
      <c r="E552" s="8" t="s">
        <v>726</v>
      </c>
      <c r="F552" s="7" t="s">
        <v>1733</v>
      </c>
      <c r="G552" s="7" t="s">
        <v>780</v>
      </c>
      <c r="H552" s="7" t="s">
        <v>838</v>
      </c>
      <c r="I552" s="7" t="s">
        <v>919</v>
      </c>
      <c r="J552" s="7">
        <f t="shared" si="88"/>
        <v>4</v>
      </c>
      <c r="K552" s="9">
        <f t="shared" si="89"/>
        <v>18000</v>
      </c>
      <c r="L552" s="7">
        <v>1</v>
      </c>
      <c r="M552" s="9">
        <f t="shared" si="90"/>
        <v>18000</v>
      </c>
      <c r="N552" s="9">
        <f t="shared" si="91"/>
        <v>9000</v>
      </c>
      <c r="O552" s="7" t="s">
        <v>1006</v>
      </c>
      <c r="P552" s="10">
        <f t="shared" si="92"/>
        <v>0.05</v>
      </c>
      <c r="Q552" s="9">
        <f t="shared" si="93"/>
        <v>900</v>
      </c>
      <c r="R552" s="9">
        <f t="shared" si="94"/>
        <v>17100</v>
      </c>
      <c r="S552" s="9" t="str">
        <f t="shared" si="95"/>
        <v>Profit</v>
      </c>
      <c r="T552" s="7" t="str">
        <f t="shared" si="96"/>
        <v>Jul</v>
      </c>
      <c r="U552" s="7">
        <f t="shared" si="97"/>
        <v>2025</v>
      </c>
      <c r="V552" s="7" t="str">
        <f t="shared" si="98"/>
        <v>20-25</v>
      </c>
    </row>
    <row r="553" spans="1:22" x14ac:dyDescent="0.3">
      <c r="A553" s="7" t="s">
        <v>570</v>
      </c>
      <c r="B553" s="8" t="s">
        <v>1574</v>
      </c>
      <c r="C553" s="8">
        <v>29</v>
      </c>
      <c r="D553" s="8" t="s">
        <v>720</v>
      </c>
      <c r="E553" s="8" t="s">
        <v>722</v>
      </c>
      <c r="F553" s="7" t="s">
        <v>734</v>
      </c>
      <c r="G553" s="7" t="s">
        <v>938</v>
      </c>
      <c r="H553" s="7" t="s">
        <v>851</v>
      </c>
      <c r="I553" s="7" t="s">
        <v>922</v>
      </c>
      <c r="J553" s="7">
        <f t="shared" si="88"/>
        <v>5</v>
      </c>
      <c r="K553" s="9">
        <f t="shared" si="89"/>
        <v>60000</v>
      </c>
      <c r="L553" s="7">
        <v>3</v>
      </c>
      <c r="M553" s="9">
        <f t="shared" si="90"/>
        <v>180000</v>
      </c>
      <c r="N553" s="9">
        <f t="shared" si="91"/>
        <v>117000</v>
      </c>
      <c r="O553" s="7" t="s">
        <v>1006</v>
      </c>
      <c r="P553" s="10">
        <f t="shared" si="92"/>
        <v>0.1</v>
      </c>
      <c r="Q553" s="9">
        <f t="shared" si="93"/>
        <v>18000</v>
      </c>
      <c r="R553" s="9">
        <f t="shared" si="94"/>
        <v>162000</v>
      </c>
      <c r="S553" s="9" t="str">
        <f t="shared" si="95"/>
        <v>Profit</v>
      </c>
      <c r="T553" s="7" t="str">
        <f t="shared" si="96"/>
        <v>Jan</v>
      </c>
      <c r="U553" s="7">
        <f t="shared" si="97"/>
        <v>2025</v>
      </c>
      <c r="V553" s="7" t="str">
        <f t="shared" si="98"/>
        <v>25-30</v>
      </c>
    </row>
    <row r="554" spans="1:22" x14ac:dyDescent="0.3">
      <c r="A554" s="7" t="s">
        <v>571</v>
      </c>
      <c r="B554" s="8" t="s">
        <v>1575</v>
      </c>
      <c r="C554" s="8">
        <v>46</v>
      </c>
      <c r="D554" s="8" t="s">
        <v>720</v>
      </c>
      <c r="E554" s="8" t="s">
        <v>723</v>
      </c>
      <c r="F554" s="7" t="s">
        <v>728</v>
      </c>
      <c r="G554" s="7" t="s">
        <v>866</v>
      </c>
      <c r="H554" s="7" t="s">
        <v>981</v>
      </c>
      <c r="I554" s="7" t="s">
        <v>965</v>
      </c>
      <c r="J554" s="7">
        <f t="shared" si="88"/>
        <v>7</v>
      </c>
      <c r="K554" s="9">
        <f t="shared" si="89"/>
        <v>70000</v>
      </c>
      <c r="L554" s="7">
        <v>4</v>
      </c>
      <c r="M554" s="9">
        <f t="shared" si="90"/>
        <v>280000</v>
      </c>
      <c r="N554" s="9">
        <f t="shared" si="91"/>
        <v>168000</v>
      </c>
      <c r="O554" s="7" t="s">
        <v>1007</v>
      </c>
      <c r="P554" s="10">
        <f t="shared" si="92"/>
        <v>0</v>
      </c>
      <c r="Q554" s="9">
        <f t="shared" si="93"/>
        <v>0</v>
      </c>
      <c r="R554" s="9">
        <f t="shared" si="94"/>
        <v>5000</v>
      </c>
      <c r="S554" s="9" t="str">
        <f t="shared" si="95"/>
        <v>Loss</v>
      </c>
      <c r="T554" s="7" t="str">
        <f t="shared" si="96"/>
        <v>Aug</v>
      </c>
      <c r="U554" s="7">
        <f t="shared" si="97"/>
        <v>2025</v>
      </c>
      <c r="V554" s="7" t="str">
        <f t="shared" si="98"/>
        <v>45-50</v>
      </c>
    </row>
    <row r="555" spans="1:22" x14ac:dyDescent="0.3">
      <c r="A555" s="7" t="s">
        <v>572</v>
      </c>
      <c r="B555" s="8" t="s">
        <v>1576</v>
      </c>
      <c r="C555" s="8">
        <v>27</v>
      </c>
      <c r="D555" s="8" t="s">
        <v>721</v>
      </c>
      <c r="E555" s="8" t="s">
        <v>722</v>
      </c>
      <c r="F555" s="7" t="s">
        <v>731</v>
      </c>
      <c r="G555" s="7" t="s">
        <v>741</v>
      </c>
      <c r="H555" s="7" t="s">
        <v>817</v>
      </c>
      <c r="I555" s="7" t="s">
        <v>755</v>
      </c>
      <c r="J555" s="7">
        <f t="shared" si="88"/>
        <v>5</v>
      </c>
      <c r="K555" s="9">
        <f t="shared" si="89"/>
        <v>60000</v>
      </c>
      <c r="L555" s="7">
        <v>2</v>
      </c>
      <c r="M555" s="9">
        <f t="shared" si="90"/>
        <v>120000</v>
      </c>
      <c r="N555" s="9">
        <f t="shared" si="91"/>
        <v>78000</v>
      </c>
      <c r="O555" s="7" t="s">
        <v>1006</v>
      </c>
      <c r="P555" s="10">
        <f t="shared" si="92"/>
        <v>0.1</v>
      </c>
      <c r="Q555" s="9">
        <f t="shared" si="93"/>
        <v>12000</v>
      </c>
      <c r="R555" s="9">
        <f t="shared" si="94"/>
        <v>108000</v>
      </c>
      <c r="S555" s="9" t="str">
        <f t="shared" si="95"/>
        <v>Profit</v>
      </c>
      <c r="T555" s="7" t="str">
        <f t="shared" si="96"/>
        <v>Apr</v>
      </c>
      <c r="U555" s="7">
        <f t="shared" si="97"/>
        <v>2025</v>
      </c>
      <c r="V555" s="7" t="str">
        <f t="shared" si="98"/>
        <v>25-30</v>
      </c>
    </row>
    <row r="556" spans="1:22" x14ac:dyDescent="0.3">
      <c r="A556" s="7" t="s">
        <v>573</v>
      </c>
      <c r="B556" s="8" t="s">
        <v>1577</v>
      </c>
      <c r="C556" s="8">
        <v>22</v>
      </c>
      <c r="D556" s="8" t="s">
        <v>721</v>
      </c>
      <c r="E556" s="8" t="s">
        <v>726</v>
      </c>
      <c r="F556" s="7" t="s">
        <v>1730</v>
      </c>
      <c r="G556" s="7" t="s">
        <v>919</v>
      </c>
      <c r="H556" s="7" t="s">
        <v>967</v>
      </c>
      <c r="I556" s="7" t="s">
        <v>998</v>
      </c>
      <c r="J556" s="7">
        <f t="shared" si="88"/>
        <v>4</v>
      </c>
      <c r="K556" s="9">
        <f t="shared" si="89"/>
        <v>18000</v>
      </c>
      <c r="L556" s="7">
        <v>2</v>
      </c>
      <c r="M556" s="9">
        <f t="shared" si="90"/>
        <v>36000</v>
      </c>
      <c r="N556" s="9">
        <f t="shared" si="91"/>
        <v>18000</v>
      </c>
      <c r="O556" s="7" t="s">
        <v>1006</v>
      </c>
      <c r="P556" s="10">
        <f t="shared" si="92"/>
        <v>0.05</v>
      </c>
      <c r="Q556" s="9">
        <f t="shared" si="93"/>
        <v>1800</v>
      </c>
      <c r="R556" s="9">
        <f t="shared" si="94"/>
        <v>34200</v>
      </c>
      <c r="S556" s="9" t="str">
        <f t="shared" si="95"/>
        <v>Profit</v>
      </c>
      <c r="T556" s="7" t="str">
        <f t="shared" si="96"/>
        <v>Aug</v>
      </c>
      <c r="U556" s="7">
        <f t="shared" si="97"/>
        <v>2025</v>
      </c>
      <c r="V556" s="7" t="str">
        <f t="shared" si="98"/>
        <v>20-25</v>
      </c>
    </row>
    <row r="557" spans="1:22" x14ac:dyDescent="0.3">
      <c r="A557" s="7" t="s">
        <v>574</v>
      </c>
      <c r="B557" s="8" t="s">
        <v>1578</v>
      </c>
      <c r="C557" s="8">
        <v>32</v>
      </c>
      <c r="D557" s="8" t="s">
        <v>720</v>
      </c>
      <c r="E557" s="8" t="s">
        <v>723</v>
      </c>
      <c r="F557" s="7" t="s">
        <v>728</v>
      </c>
      <c r="G557" s="7" t="s">
        <v>919</v>
      </c>
      <c r="H557" s="7" t="s">
        <v>994</v>
      </c>
      <c r="I557" s="7" t="s">
        <v>998</v>
      </c>
      <c r="J557" s="7">
        <f t="shared" si="88"/>
        <v>7</v>
      </c>
      <c r="K557" s="9">
        <f t="shared" si="89"/>
        <v>70000</v>
      </c>
      <c r="L557" s="7">
        <v>1</v>
      </c>
      <c r="M557" s="9">
        <f t="shared" si="90"/>
        <v>70000</v>
      </c>
      <c r="N557" s="9">
        <f t="shared" si="91"/>
        <v>42000</v>
      </c>
      <c r="O557" s="7" t="s">
        <v>1007</v>
      </c>
      <c r="P557" s="10">
        <f t="shared" si="92"/>
        <v>0</v>
      </c>
      <c r="Q557" s="9">
        <f t="shared" si="93"/>
        <v>0</v>
      </c>
      <c r="R557" s="9">
        <f t="shared" si="94"/>
        <v>5000</v>
      </c>
      <c r="S557" s="9" t="str">
        <f t="shared" si="95"/>
        <v>Loss</v>
      </c>
      <c r="T557" s="7" t="str">
        <f t="shared" si="96"/>
        <v>Aug</v>
      </c>
      <c r="U557" s="7">
        <f t="shared" si="97"/>
        <v>2025</v>
      </c>
      <c r="V557" s="7" t="str">
        <f t="shared" si="98"/>
        <v>30-35</v>
      </c>
    </row>
    <row r="558" spans="1:22" x14ac:dyDescent="0.3">
      <c r="A558" s="7" t="s">
        <v>575</v>
      </c>
      <c r="B558" s="8" t="s">
        <v>1579</v>
      </c>
      <c r="C558" s="8">
        <v>53</v>
      </c>
      <c r="D558" s="8" t="s">
        <v>721</v>
      </c>
      <c r="E558" s="8" t="s">
        <v>723</v>
      </c>
      <c r="F558" s="7" t="s">
        <v>735</v>
      </c>
      <c r="G558" s="7" t="s">
        <v>740</v>
      </c>
      <c r="H558" s="7" t="s">
        <v>860</v>
      </c>
      <c r="I558" s="7" t="s">
        <v>746</v>
      </c>
      <c r="J558" s="7">
        <f t="shared" si="88"/>
        <v>7</v>
      </c>
      <c r="K558" s="9">
        <f t="shared" si="89"/>
        <v>70000</v>
      </c>
      <c r="L558" s="7">
        <v>4</v>
      </c>
      <c r="M558" s="9">
        <f t="shared" si="90"/>
        <v>280000</v>
      </c>
      <c r="N558" s="9">
        <f t="shared" si="91"/>
        <v>168000</v>
      </c>
      <c r="O558" s="7" t="s">
        <v>1007</v>
      </c>
      <c r="P558" s="10">
        <f t="shared" si="92"/>
        <v>0</v>
      </c>
      <c r="Q558" s="9">
        <f t="shared" si="93"/>
        <v>0</v>
      </c>
      <c r="R558" s="9">
        <f t="shared" si="94"/>
        <v>5000</v>
      </c>
      <c r="S558" s="9" t="str">
        <f t="shared" si="95"/>
        <v>Loss</v>
      </c>
      <c r="T558" s="7" t="str">
        <f t="shared" si="96"/>
        <v>Apr</v>
      </c>
      <c r="U558" s="7">
        <f t="shared" si="97"/>
        <v>2025</v>
      </c>
      <c r="V558" s="7" t="str">
        <f t="shared" si="98"/>
        <v>50-55</v>
      </c>
    </row>
    <row r="559" spans="1:22" x14ac:dyDescent="0.3">
      <c r="A559" s="7" t="s">
        <v>576</v>
      </c>
      <c r="B559" s="8" t="s">
        <v>1580</v>
      </c>
      <c r="C559" s="8">
        <v>59</v>
      </c>
      <c r="D559" s="8" t="s">
        <v>720</v>
      </c>
      <c r="E559" s="8" t="s">
        <v>724</v>
      </c>
      <c r="F559" s="7" t="s">
        <v>730</v>
      </c>
      <c r="G559" s="7" t="s">
        <v>780</v>
      </c>
      <c r="H559" s="7" t="s">
        <v>866</v>
      </c>
      <c r="I559" s="7" t="s">
        <v>980</v>
      </c>
      <c r="J559" s="7">
        <f t="shared" si="88"/>
        <v>10</v>
      </c>
      <c r="K559" s="9">
        <f t="shared" si="89"/>
        <v>120000</v>
      </c>
      <c r="L559" s="7">
        <v>3</v>
      </c>
      <c r="M559" s="9">
        <f t="shared" si="90"/>
        <v>360000</v>
      </c>
      <c r="N559" s="9">
        <f t="shared" si="91"/>
        <v>234000</v>
      </c>
      <c r="O559" s="7" t="s">
        <v>1007</v>
      </c>
      <c r="P559" s="10">
        <f t="shared" si="92"/>
        <v>0</v>
      </c>
      <c r="Q559" s="9">
        <f t="shared" si="93"/>
        <v>0</v>
      </c>
      <c r="R559" s="9">
        <f t="shared" si="94"/>
        <v>5000</v>
      </c>
      <c r="S559" s="9" t="str">
        <f t="shared" si="95"/>
        <v>Loss</v>
      </c>
      <c r="T559" s="7" t="str">
        <f t="shared" si="96"/>
        <v>Jul</v>
      </c>
      <c r="U559" s="7">
        <f t="shared" si="97"/>
        <v>2025</v>
      </c>
      <c r="V559" s="7" t="str">
        <f t="shared" si="98"/>
        <v>55-60</v>
      </c>
    </row>
    <row r="560" spans="1:22" x14ac:dyDescent="0.3">
      <c r="A560" s="7" t="s">
        <v>577</v>
      </c>
      <c r="B560" s="8" t="s">
        <v>1581</v>
      </c>
      <c r="C560" s="8">
        <v>24</v>
      </c>
      <c r="D560" s="8" t="s">
        <v>720</v>
      </c>
      <c r="E560" s="8" t="s">
        <v>723</v>
      </c>
      <c r="F560" s="7" t="s">
        <v>734</v>
      </c>
      <c r="G560" s="7" t="s">
        <v>945</v>
      </c>
      <c r="H560" s="7" t="s">
        <v>759</v>
      </c>
      <c r="I560" s="7" t="s">
        <v>836</v>
      </c>
      <c r="J560" s="7">
        <f t="shared" si="88"/>
        <v>7</v>
      </c>
      <c r="K560" s="9">
        <f t="shared" si="89"/>
        <v>70000</v>
      </c>
      <c r="L560" s="7">
        <v>4</v>
      </c>
      <c r="M560" s="9">
        <f t="shared" si="90"/>
        <v>280000</v>
      </c>
      <c r="N560" s="9">
        <f t="shared" si="91"/>
        <v>168000</v>
      </c>
      <c r="O560" s="7" t="s">
        <v>1007</v>
      </c>
      <c r="P560" s="10">
        <f t="shared" si="92"/>
        <v>0</v>
      </c>
      <c r="Q560" s="9">
        <f t="shared" si="93"/>
        <v>0</v>
      </c>
      <c r="R560" s="9">
        <f t="shared" si="94"/>
        <v>5000</v>
      </c>
      <c r="S560" s="9" t="str">
        <f t="shared" si="95"/>
        <v>Loss</v>
      </c>
      <c r="T560" s="7" t="str">
        <f t="shared" si="96"/>
        <v>Jun</v>
      </c>
      <c r="U560" s="7">
        <f t="shared" si="97"/>
        <v>2025</v>
      </c>
      <c r="V560" s="7" t="str">
        <f t="shared" si="98"/>
        <v>20-25</v>
      </c>
    </row>
    <row r="561" spans="1:22" x14ac:dyDescent="0.3">
      <c r="A561" s="7" t="s">
        <v>578</v>
      </c>
      <c r="B561" s="8" t="s">
        <v>1582</v>
      </c>
      <c r="C561" s="8">
        <v>30</v>
      </c>
      <c r="D561" s="8" t="s">
        <v>720</v>
      </c>
      <c r="E561" s="8" t="s">
        <v>725</v>
      </c>
      <c r="F561" s="7" t="s">
        <v>733</v>
      </c>
      <c r="G561" s="7" t="s">
        <v>946</v>
      </c>
      <c r="H561" s="7" t="s">
        <v>845</v>
      </c>
      <c r="I561" s="7" t="s">
        <v>741</v>
      </c>
      <c r="J561" s="7">
        <f t="shared" si="88"/>
        <v>8</v>
      </c>
      <c r="K561" s="9">
        <f t="shared" si="89"/>
        <v>80000</v>
      </c>
      <c r="L561" s="7">
        <v>2</v>
      </c>
      <c r="M561" s="9">
        <f t="shared" si="90"/>
        <v>160000</v>
      </c>
      <c r="N561" s="9">
        <f t="shared" si="91"/>
        <v>96000</v>
      </c>
      <c r="O561" s="7" t="s">
        <v>1006</v>
      </c>
      <c r="P561" s="10">
        <f t="shared" si="92"/>
        <v>0.12</v>
      </c>
      <c r="Q561" s="9">
        <f t="shared" si="93"/>
        <v>19200</v>
      </c>
      <c r="R561" s="9">
        <f t="shared" si="94"/>
        <v>140800</v>
      </c>
      <c r="S561" s="9" t="str">
        <f t="shared" si="95"/>
        <v>Profit</v>
      </c>
      <c r="T561" s="7" t="str">
        <f t="shared" si="96"/>
        <v>Mar</v>
      </c>
      <c r="U561" s="7">
        <f t="shared" si="97"/>
        <v>2025</v>
      </c>
      <c r="V561" s="7" t="str">
        <f t="shared" si="98"/>
        <v>30-35</v>
      </c>
    </row>
    <row r="562" spans="1:22" x14ac:dyDescent="0.3">
      <c r="A562" s="7" t="s">
        <v>579</v>
      </c>
      <c r="B562" s="8" t="s">
        <v>1583</v>
      </c>
      <c r="C562" s="8">
        <v>24</v>
      </c>
      <c r="D562" s="8" t="s">
        <v>721</v>
      </c>
      <c r="E562" s="8" t="s">
        <v>725</v>
      </c>
      <c r="F562" s="7" t="s">
        <v>731</v>
      </c>
      <c r="G562" s="7" t="s">
        <v>903</v>
      </c>
      <c r="H562" s="7" t="s">
        <v>783</v>
      </c>
      <c r="I562" s="7" t="s">
        <v>964</v>
      </c>
      <c r="J562" s="7">
        <f t="shared" si="88"/>
        <v>8</v>
      </c>
      <c r="K562" s="9">
        <f t="shared" si="89"/>
        <v>80000</v>
      </c>
      <c r="L562" s="7">
        <v>2</v>
      </c>
      <c r="M562" s="9">
        <f t="shared" si="90"/>
        <v>160000</v>
      </c>
      <c r="N562" s="9">
        <f t="shared" si="91"/>
        <v>96000</v>
      </c>
      <c r="O562" s="7" t="s">
        <v>1006</v>
      </c>
      <c r="P562" s="10">
        <f t="shared" si="92"/>
        <v>0.12</v>
      </c>
      <c r="Q562" s="9">
        <f t="shared" si="93"/>
        <v>19200</v>
      </c>
      <c r="R562" s="9">
        <f t="shared" si="94"/>
        <v>140800</v>
      </c>
      <c r="S562" s="9" t="str">
        <f t="shared" si="95"/>
        <v>Profit</v>
      </c>
      <c r="T562" s="7" t="str">
        <f t="shared" si="96"/>
        <v>May</v>
      </c>
      <c r="U562" s="7">
        <f t="shared" si="97"/>
        <v>2025</v>
      </c>
      <c r="V562" s="7" t="str">
        <f t="shared" si="98"/>
        <v>20-25</v>
      </c>
    </row>
    <row r="563" spans="1:22" x14ac:dyDescent="0.3">
      <c r="A563" s="7" t="s">
        <v>580</v>
      </c>
      <c r="B563" s="8" t="s">
        <v>1584</v>
      </c>
      <c r="C563" s="8">
        <v>37</v>
      </c>
      <c r="D563" s="8" t="s">
        <v>721</v>
      </c>
      <c r="E563" s="8" t="s">
        <v>724</v>
      </c>
      <c r="F563" s="7" t="s">
        <v>730</v>
      </c>
      <c r="G563" s="7" t="s">
        <v>822</v>
      </c>
      <c r="H563" s="7" t="s">
        <v>938</v>
      </c>
      <c r="I563" s="7" t="s">
        <v>933</v>
      </c>
      <c r="J563" s="7">
        <f t="shared" si="88"/>
        <v>10</v>
      </c>
      <c r="K563" s="9">
        <f t="shared" si="89"/>
        <v>120000</v>
      </c>
      <c r="L563" s="7">
        <v>2</v>
      </c>
      <c r="M563" s="9">
        <f t="shared" si="90"/>
        <v>240000</v>
      </c>
      <c r="N563" s="9">
        <f t="shared" si="91"/>
        <v>156000</v>
      </c>
      <c r="O563" s="7" t="s">
        <v>1007</v>
      </c>
      <c r="P563" s="10">
        <f t="shared" si="92"/>
        <v>0</v>
      </c>
      <c r="Q563" s="9">
        <f t="shared" si="93"/>
        <v>0</v>
      </c>
      <c r="R563" s="9">
        <f t="shared" si="94"/>
        <v>5000</v>
      </c>
      <c r="S563" s="9" t="str">
        <f t="shared" si="95"/>
        <v>Loss</v>
      </c>
      <c r="T563" s="7" t="str">
        <f t="shared" si="96"/>
        <v>Jan</v>
      </c>
      <c r="U563" s="7">
        <f t="shared" si="97"/>
        <v>2025</v>
      </c>
      <c r="V563" s="7" t="str">
        <f t="shared" si="98"/>
        <v>35-40</v>
      </c>
    </row>
    <row r="564" spans="1:22" x14ac:dyDescent="0.3">
      <c r="A564" s="7" t="s">
        <v>581</v>
      </c>
      <c r="B564" s="8" t="s">
        <v>1585</v>
      </c>
      <c r="C564" s="8">
        <v>33</v>
      </c>
      <c r="D564" s="8" t="s">
        <v>720</v>
      </c>
      <c r="E564" s="8" t="s">
        <v>723</v>
      </c>
      <c r="F564" s="7" t="s">
        <v>733</v>
      </c>
      <c r="G564" s="7" t="s">
        <v>845</v>
      </c>
      <c r="H564" s="7" t="s">
        <v>789</v>
      </c>
      <c r="I564" s="7" t="s">
        <v>748</v>
      </c>
      <c r="J564" s="7">
        <f t="shared" si="88"/>
        <v>7</v>
      </c>
      <c r="K564" s="9">
        <f t="shared" si="89"/>
        <v>70000</v>
      </c>
      <c r="L564" s="7">
        <v>2</v>
      </c>
      <c r="M564" s="9">
        <f t="shared" si="90"/>
        <v>140000</v>
      </c>
      <c r="N564" s="9">
        <f t="shared" si="91"/>
        <v>84000</v>
      </c>
      <c r="O564" s="7" t="s">
        <v>1007</v>
      </c>
      <c r="P564" s="10">
        <f t="shared" si="92"/>
        <v>0</v>
      </c>
      <c r="Q564" s="9">
        <f t="shared" si="93"/>
        <v>0</v>
      </c>
      <c r="R564" s="9">
        <f t="shared" si="94"/>
        <v>5000</v>
      </c>
      <c r="S564" s="9" t="str">
        <f t="shared" si="95"/>
        <v>Loss</v>
      </c>
      <c r="T564" s="7" t="str">
        <f t="shared" si="96"/>
        <v>Apr</v>
      </c>
      <c r="U564" s="7">
        <f t="shared" si="97"/>
        <v>2025</v>
      </c>
      <c r="V564" s="7" t="str">
        <f t="shared" si="98"/>
        <v>30-35</v>
      </c>
    </row>
    <row r="565" spans="1:22" x14ac:dyDescent="0.3">
      <c r="A565" s="7" t="s">
        <v>582</v>
      </c>
      <c r="B565" s="8" t="s">
        <v>1586</v>
      </c>
      <c r="C565" s="8">
        <v>28</v>
      </c>
      <c r="D565" s="8" t="s">
        <v>721</v>
      </c>
      <c r="E565" s="8" t="s">
        <v>726</v>
      </c>
      <c r="F565" s="7" t="s">
        <v>1725</v>
      </c>
      <c r="G565" s="7" t="s">
        <v>818</v>
      </c>
      <c r="H565" s="7" t="s">
        <v>826</v>
      </c>
      <c r="I565" s="7" t="s">
        <v>979</v>
      </c>
      <c r="J565" s="7">
        <f t="shared" si="88"/>
        <v>4</v>
      </c>
      <c r="K565" s="9">
        <f t="shared" si="89"/>
        <v>18000</v>
      </c>
      <c r="L565" s="7">
        <v>1</v>
      </c>
      <c r="M565" s="9">
        <f t="shared" si="90"/>
        <v>18000</v>
      </c>
      <c r="N565" s="9">
        <f t="shared" si="91"/>
        <v>9000</v>
      </c>
      <c r="O565" s="7" t="s">
        <v>1006</v>
      </c>
      <c r="P565" s="10">
        <f t="shared" si="92"/>
        <v>0.05</v>
      </c>
      <c r="Q565" s="9">
        <f t="shared" si="93"/>
        <v>900</v>
      </c>
      <c r="R565" s="9">
        <f t="shared" si="94"/>
        <v>17100</v>
      </c>
      <c r="S565" s="9" t="str">
        <f t="shared" si="95"/>
        <v>Profit</v>
      </c>
      <c r="T565" s="7" t="str">
        <f t="shared" si="96"/>
        <v>Jun</v>
      </c>
      <c r="U565" s="7">
        <f t="shared" si="97"/>
        <v>2025</v>
      </c>
      <c r="V565" s="7" t="str">
        <f t="shared" si="98"/>
        <v>25-30</v>
      </c>
    </row>
    <row r="566" spans="1:22" x14ac:dyDescent="0.3">
      <c r="A566" s="7" t="s">
        <v>583</v>
      </c>
      <c r="B566" s="8" t="s">
        <v>1587</v>
      </c>
      <c r="C566" s="8">
        <v>39</v>
      </c>
      <c r="D566" s="8" t="s">
        <v>720</v>
      </c>
      <c r="E566" s="8" t="s">
        <v>726</v>
      </c>
      <c r="F566" s="7" t="s">
        <v>728</v>
      </c>
      <c r="G566" s="7" t="s">
        <v>821</v>
      </c>
      <c r="H566" s="7" t="s">
        <v>934</v>
      </c>
      <c r="I566" s="7" t="s">
        <v>831</v>
      </c>
      <c r="J566" s="7">
        <f t="shared" si="88"/>
        <v>4</v>
      </c>
      <c r="K566" s="9">
        <f t="shared" si="89"/>
        <v>18000</v>
      </c>
      <c r="L566" s="7">
        <v>4</v>
      </c>
      <c r="M566" s="9">
        <f t="shared" si="90"/>
        <v>72000</v>
      </c>
      <c r="N566" s="9">
        <f t="shared" si="91"/>
        <v>36000</v>
      </c>
      <c r="O566" s="7" t="s">
        <v>1007</v>
      </c>
      <c r="P566" s="10">
        <f t="shared" si="92"/>
        <v>0</v>
      </c>
      <c r="Q566" s="9">
        <f t="shared" si="93"/>
        <v>0</v>
      </c>
      <c r="R566" s="9">
        <f t="shared" si="94"/>
        <v>5000</v>
      </c>
      <c r="S566" s="9" t="str">
        <f t="shared" si="95"/>
        <v>Loss</v>
      </c>
      <c r="T566" s="7" t="str">
        <f t="shared" si="96"/>
        <v>Jan</v>
      </c>
      <c r="U566" s="7">
        <f t="shared" si="97"/>
        <v>2025</v>
      </c>
      <c r="V566" s="7" t="str">
        <f t="shared" si="98"/>
        <v>35-40</v>
      </c>
    </row>
    <row r="567" spans="1:22" x14ac:dyDescent="0.3">
      <c r="A567" s="7" t="s">
        <v>584</v>
      </c>
      <c r="B567" s="8" t="s">
        <v>1588</v>
      </c>
      <c r="C567" s="8">
        <v>53</v>
      </c>
      <c r="D567" s="8" t="s">
        <v>721</v>
      </c>
      <c r="E567" s="8" t="s">
        <v>726</v>
      </c>
      <c r="F567" s="7" t="s">
        <v>1731</v>
      </c>
      <c r="G567" s="7" t="s">
        <v>921</v>
      </c>
      <c r="H567" s="7" t="s">
        <v>845</v>
      </c>
      <c r="I567" s="7" t="s">
        <v>741</v>
      </c>
      <c r="J567" s="7">
        <f t="shared" si="88"/>
        <v>4</v>
      </c>
      <c r="K567" s="9">
        <f t="shared" si="89"/>
        <v>18000</v>
      </c>
      <c r="L567" s="7">
        <v>2</v>
      </c>
      <c r="M567" s="9">
        <f t="shared" si="90"/>
        <v>36000</v>
      </c>
      <c r="N567" s="9">
        <f t="shared" si="91"/>
        <v>18000</v>
      </c>
      <c r="O567" s="7" t="s">
        <v>1006</v>
      </c>
      <c r="P567" s="10">
        <f t="shared" si="92"/>
        <v>0.05</v>
      </c>
      <c r="Q567" s="9">
        <f t="shared" si="93"/>
        <v>1800</v>
      </c>
      <c r="R567" s="9">
        <f t="shared" si="94"/>
        <v>34200</v>
      </c>
      <c r="S567" s="9" t="str">
        <f t="shared" si="95"/>
        <v>Profit</v>
      </c>
      <c r="T567" s="7" t="str">
        <f t="shared" si="96"/>
        <v>Mar</v>
      </c>
      <c r="U567" s="7">
        <f t="shared" si="97"/>
        <v>2025</v>
      </c>
      <c r="V567" s="7" t="str">
        <f t="shared" si="98"/>
        <v>50-55</v>
      </c>
    </row>
    <row r="568" spans="1:22" x14ac:dyDescent="0.3">
      <c r="A568" s="7" t="s">
        <v>585</v>
      </c>
      <c r="B568" s="8" t="s">
        <v>1589</v>
      </c>
      <c r="C568" s="8">
        <v>50</v>
      </c>
      <c r="D568" s="8" t="s">
        <v>720</v>
      </c>
      <c r="E568" s="8" t="s">
        <v>724</v>
      </c>
      <c r="F568" s="7" t="s">
        <v>727</v>
      </c>
      <c r="G568" s="7" t="s">
        <v>742</v>
      </c>
      <c r="H568" s="7" t="s">
        <v>752</v>
      </c>
      <c r="I568" s="7" t="s">
        <v>840</v>
      </c>
      <c r="J568" s="7">
        <f t="shared" si="88"/>
        <v>10</v>
      </c>
      <c r="K568" s="9">
        <f t="shared" si="89"/>
        <v>120000</v>
      </c>
      <c r="L568" s="7">
        <v>2</v>
      </c>
      <c r="M568" s="9">
        <f t="shared" si="90"/>
        <v>240000</v>
      </c>
      <c r="N568" s="9">
        <f t="shared" si="91"/>
        <v>156000</v>
      </c>
      <c r="O568" s="7" t="s">
        <v>1006</v>
      </c>
      <c r="P568" s="10">
        <f t="shared" si="92"/>
        <v>0.15</v>
      </c>
      <c r="Q568" s="9">
        <f t="shared" si="93"/>
        <v>36000</v>
      </c>
      <c r="R568" s="9">
        <f t="shared" si="94"/>
        <v>204000</v>
      </c>
      <c r="S568" s="9" t="str">
        <f t="shared" si="95"/>
        <v>Profit</v>
      </c>
      <c r="T568" s="7" t="str">
        <f t="shared" si="96"/>
        <v>May</v>
      </c>
      <c r="U568" s="7">
        <f t="shared" si="97"/>
        <v>2025</v>
      </c>
      <c r="V568" s="7" t="str">
        <f t="shared" si="98"/>
        <v>50-55</v>
      </c>
    </row>
    <row r="569" spans="1:22" x14ac:dyDescent="0.3">
      <c r="A569" s="7" t="s">
        <v>586</v>
      </c>
      <c r="B569" s="8" t="s">
        <v>1590</v>
      </c>
      <c r="C569" s="8">
        <v>40</v>
      </c>
      <c r="D569" s="8" t="s">
        <v>721</v>
      </c>
      <c r="E569" s="8" t="s">
        <v>723</v>
      </c>
      <c r="F569" s="7" t="s">
        <v>735</v>
      </c>
      <c r="G569" s="7" t="s">
        <v>790</v>
      </c>
      <c r="H569" s="7" t="s">
        <v>855</v>
      </c>
      <c r="I569" s="7" t="s">
        <v>754</v>
      </c>
      <c r="J569" s="7">
        <f t="shared" si="88"/>
        <v>7</v>
      </c>
      <c r="K569" s="9">
        <f t="shared" si="89"/>
        <v>70000</v>
      </c>
      <c r="L569" s="7">
        <v>2</v>
      </c>
      <c r="M569" s="9">
        <f t="shared" si="90"/>
        <v>140000</v>
      </c>
      <c r="N569" s="9">
        <f t="shared" si="91"/>
        <v>84000</v>
      </c>
      <c r="O569" s="7" t="s">
        <v>1006</v>
      </c>
      <c r="P569" s="10">
        <f t="shared" si="92"/>
        <v>7.0000000000000007E-2</v>
      </c>
      <c r="Q569" s="9">
        <f t="shared" si="93"/>
        <v>9800.0000000000018</v>
      </c>
      <c r="R569" s="9">
        <f t="shared" si="94"/>
        <v>130200</v>
      </c>
      <c r="S569" s="9" t="str">
        <f t="shared" si="95"/>
        <v>Profit</v>
      </c>
      <c r="T569" s="7" t="str">
        <f t="shared" si="96"/>
        <v>Feb</v>
      </c>
      <c r="U569" s="7">
        <f t="shared" si="97"/>
        <v>2025</v>
      </c>
      <c r="V569" s="7" t="str">
        <f t="shared" si="98"/>
        <v>40-45</v>
      </c>
    </row>
    <row r="570" spans="1:22" x14ac:dyDescent="0.3">
      <c r="A570" s="7" t="s">
        <v>587</v>
      </c>
      <c r="B570" s="8" t="s">
        <v>1591</v>
      </c>
      <c r="C570" s="8">
        <v>22</v>
      </c>
      <c r="D570" s="8" t="s">
        <v>720</v>
      </c>
      <c r="E570" s="8" t="s">
        <v>722</v>
      </c>
      <c r="F570" s="7" t="s">
        <v>728</v>
      </c>
      <c r="G570" s="7" t="s">
        <v>863</v>
      </c>
      <c r="H570" s="7" t="s">
        <v>803</v>
      </c>
      <c r="I570" s="7" t="s">
        <v>937</v>
      </c>
      <c r="J570" s="7">
        <f t="shared" si="88"/>
        <v>5</v>
      </c>
      <c r="K570" s="9">
        <f t="shared" si="89"/>
        <v>60000</v>
      </c>
      <c r="L570" s="7">
        <v>4</v>
      </c>
      <c r="M570" s="9">
        <f t="shared" si="90"/>
        <v>240000</v>
      </c>
      <c r="N570" s="9">
        <f t="shared" si="91"/>
        <v>156000</v>
      </c>
      <c r="O570" s="7" t="s">
        <v>1006</v>
      </c>
      <c r="P570" s="10">
        <f t="shared" si="92"/>
        <v>0.1</v>
      </c>
      <c r="Q570" s="9">
        <f t="shared" si="93"/>
        <v>24000</v>
      </c>
      <c r="R570" s="9">
        <f t="shared" si="94"/>
        <v>216000</v>
      </c>
      <c r="S570" s="9" t="str">
        <f t="shared" si="95"/>
        <v>Profit</v>
      </c>
      <c r="T570" s="7" t="str">
        <f t="shared" si="96"/>
        <v>Feb</v>
      </c>
      <c r="U570" s="7">
        <f t="shared" si="97"/>
        <v>2025</v>
      </c>
      <c r="V570" s="7" t="str">
        <f t="shared" si="98"/>
        <v>20-25</v>
      </c>
    </row>
    <row r="571" spans="1:22" x14ac:dyDescent="0.3">
      <c r="A571" s="7" t="s">
        <v>588</v>
      </c>
      <c r="B571" s="8" t="s">
        <v>1592</v>
      </c>
      <c r="C571" s="8">
        <v>55</v>
      </c>
      <c r="D571" s="8" t="s">
        <v>721</v>
      </c>
      <c r="E571" s="8" t="s">
        <v>723</v>
      </c>
      <c r="F571" s="7" t="s">
        <v>730</v>
      </c>
      <c r="G571" s="7" t="s">
        <v>927</v>
      </c>
      <c r="H571" s="7" t="s">
        <v>843</v>
      </c>
      <c r="I571" s="7" t="s">
        <v>891</v>
      </c>
      <c r="J571" s="7">
        <f t="shared" si="88"/>
        <v>7</v>
      </c>
      <c r="K571" s="9">
        <f t="shared" si="89"/>
        <v>70000</v>
      </c>
      <c r="L571" s="7">
        <v>1</v>
      </c>
      <c r="M571" s="9">
        <f t="shared" si="90"/>
        <v>70000</v>
      </c>
      <c r="N571" s="9">
        <f t="shared" si="91"/>
        <v>42000</v>
      </c>
      <c r="O571" s="7" t="s">
        <v>1006</v>
      </c>
      <c r="P571" s="10">
        <f t="shared" si="92"/>
        <v>7.0000000000000007E-2</v>
      </c>
      <c r="Q571" s="9">
        <f t="shared" si="93"/>
        <v>4900.0000000000009</v>
      </c>
      <c r="R571" s="9">
        <f t="shared" si="94"/>
        <v>65100</v>
      </c>
      <c r="S571" s="9" t="str">
        <f t="shared" si="95"/>
        <v>Profit</v>
      </c>
      <c r="T571" s="7" t="str">
        <f t="shared" si="96"/>
        <v>Jun</v>
      </c>
      <c r="U571" s="7">
        <f t="shared" si="97"/>
        <v>2025</v>
      </c>
      <c r="V571" s="7" t="str">
        <f t="shared" si="98"/>
        <v>55-60</v>
      </c>
    </row>
    <row r="572" spans="1:22" x14ac:dyDescent="0.3">
      <c r="A572" s="7" t="s">
        <v>589</v>
      </c>
      <c r="B572" s="8" t="s">
        <v>1593</v>
      </c>
      <c r="C572" s="8">
        <v>41</v>
      </c>
      <c r="D572" s="8" t="s">
        <v>720</v>
      </c>
      <c r="E572" s="8" t="s">
        <v>723</v>
      </c>
      <c r="F572" s="7" t="s">
        <v>732</v>
      </c>
      <c r="G572" s="7" t="s">
        <v>862</v>
      </c>
      <c r="H572" s="7" t="s">
        <v>822</v>
      </c>
      <c r="I572" s="7" t="s">
        <v>902</v>
      </c>
      <c r="J572" s="7">
        <f t="shared" si="88"/>
        <v>7</v>
      </c>
      <c r="K572" s="9">
        <f t="shared" si="89"/>
        <v>70000</v>
      </c>
      <c r="L572" s="7">
        <v>2</v>
      </c>
      <c r="M572" s="9">
        <f t="shared" si="90"/>
        <v>140000</v>
      </c>
      <c r="N572" s="9">
        <f t="shared" si="91"/>
        <v>84000</v>
      </c>
      <c r="O572" s="7" t="s">
        <v>1006</v>
      </c>
      <c r="P572" s="10">
        <f t="shared" si="92"/>
        <v>7.0000000000000007E-2</v>
      </c>
      <c r="Q572" s="9">
        <f t="shared" si="93"/>
        <v>9800.0000000000018</v>
      </c>
      <c r="R572" s="9">
        <f t="shared" si="94"/>
        <v>130200</v>
      </c>
      <c r="S572" s="9" t="str">
        <f t="shared" si="95"/>
        <v>Profit</v>
      </c>
      <c r="T572" s="7" t="str">
        <f t="shared" si="96"/>
        <v>Jan</v>
      </c>
      <c r="U572" s="7">
        <f t="shared" si="97"/>
        <v>2025</v>
      </c>
      <c r="V572" s="7" t="str">
        <f t="shared" si="98"/>
        <v>40-45</v>
      </c>
    </row>
    <row r="573" spans="1:22" x14ac:dyDescent="0.3">
      <c r="A573" s="7" t="s">
        <v>590</v>
      </c>
      <c r="B573" s="8" t="s">
        <v>1594</v>
      </c>
      <c r="C573" s="8">
        <v>28</v>
      </c>
      <c r="D573" s="8" t="s">
        <v>721</v>
      </c>
      <c r="E573" s="8" t="s">
        <v>725</v>
      </c>
      <c r="F573" s="7" t="s">
        <v>732</v>
      </c>
      <c r="G573" s="7" t="s">
        <v>896</v>
      </c>
      <c r="H573" s="7" t="s">
        <v>961</v>
      </c>
      <c r="I573" s="7" t="s">
        <v>741</v>
      </c>
      <c r="J573" s="7">
        <f t="shared" si="88"/>
        <v>8</v>
      </c>
      <c r="K573" s="9">
        <f t="shared" si="89"/>
        <v>80000</v>
      </c>
      <c r="L573" s="7">
        <v>2</v>
      </c>
      <c r="M573" s="9">
        <f t="shared" si="90"/>
        <v>160000</v>
      </c>
      <c r="N573" s="9">
        <f t="shared" si="91"/>
        <v>96000</v>
      </c>
      <c r="O573" s="7" t="s">
        <v>1006</v>
      </c>
      <c r="P573" s="10">
        <f t="shared" si="92"/>
        <v>0.12</v>
      </c>
      <c r="Q573" s="9">
        <f t="shared" si="93"/>
        <v>19200</v>
      </c>
      <c r="R573" s="9">
        <f t="shared" si="94"/>
        <v>140800</v>
      </c>
      <c r="S573" s="9" t="str">
        <f t="shared" si="95"/>
        <v>Profit</v>
      </c>
      <c r="T573" s="7" t="str">
        <f t="shared" si="96"/>
        <v>Mar</v>
      </c>
      <c r="U573" s="7">
        <f t="shared" si="97"/>
        <v>2025</v>
      </c>
      <c r="V573" s="7" t="str">
        <f t="shared" si="98"/>
        <v>25-30</v>
      </c>
    </row>
    <row r="574" spans="1:22" x14ac:dyDescent="0.3">
      <c r="A574" s="7" t="s">
        <v>591</v>
      </c>
      <c r="B574" s="8" t="s">
        <v>1595</v>
      </c>
      <c r="C574" s="8">
        <v>25</v>
      </c>
      <c r="D574" s="8" t="s">
        <v>721</v>
      </c>
      <c r="E574" s="8" t="s">
        <v>724</v>
      </c>
      <c r="F574" s="7" t="s">
        <v>734</v>
      </c>
      <c r="G574" s="7" t="s">
        <v>779</v>
      </c>
      <c r="H574" s="7" t="s">
        <v>805</v>
      </c>
      <c r="I574" s="7" t="s">
        <v>840</v>
      </c>
      <c r="J574" s="7">
        <f t="shared" si="88"/>
        <v>10</v>
      </c>
      <c r="K574" s="9">
        <f t="shared" si="89"/>
        <v>120000</v>
      </c>
      <c r="L574" s="7">
        <v>2</v>
      </c>
      <c r="M574" s="9">
        <f t="shared" si="90"/>
        <v>240000</v>
      </c>
      <c r="N574" s="9">
        <f t="shared" si="91"/>
        <v>156000</v>
      </c>
      <c r="O574" s="7" t="s">
        <v>1006</v>
      </c>
      <c r="P574" s="10">
        <f t="shared" si="92"/>
        <v>0.15</v>
      </c>
      <c r="Q574" s="9">
        <f t="shared" si="93"/>
        <v>36000</v>
      </c>
      <c r="R574" s="9">
        <f t="shared" si="94"/>
        <v>204000</v>
      </c>
      <c r="S574" s="9" t="str">
        <f t="shared" si="95"/>
        <v>Profit</v>
      </c>
      <c r="T574" s="7" t="str">
        <f t="shared" si="96"/>
        <v>May</v>
      </c>
      <c r="U574" s="7">
        <f t="shared" si="97"/>
        <v>2025</v>
      </c>
      <c r="V574" s="7" t="str">
        <f t="shared" si="98"/>
        <v>25-30</v>
      </c>
    </row>
    <row r="575" spans="1:22" x14ac:dyDescent="0.3">
      <c r="A575" s="7" t="s">
        <v>592</v>
      </c>
      <c r="B575" s="8" t="s">
        <v>1596</v>
      </c>
      <c r="C575" s="8">
        <v>44</v>
      </c>
      <c r="D575" s="8" t="s">
        <v>721</v>
      </c>
      <c r="E575" s="8" t="s">
        <v>726</v>
      </c>
      <c r="F575" s="7" t="s">
        <v>1727</v>
      </c>
      <c r="G575" s="7" t="s">
        <v>763</v>
      </c>
      <c r="H575" s="7" t="s">
        <v>874</v>
      </c>
      <c r="I575" s="7" t="s">
        <v>825</v>
      </c>
      <c r="J575" s="7">
        <f t="shared" si="88"/>
        <v>4</v>
      </c>
      <c r="K575" s="9">
        <f t="shared" si="89"/>
        <v>18000</v>
      </c>
      <c r="L575" s="7">
        <v>3</v>
      </c>
      <c r="M575" s="9">
        <f t="shared" si="90"/>
        <v>54000</v>
      </c>
      <c r="N575" s="9">
        <f t="shared" si="91"/>
        <v>27000</v>
      </c>
      <c r="O575" s="7" t="s">
        <v>1006</v>
      </c>
      <c r="P575" s="10">
        <f t="shared" si="92"/>
        <v>0.05</v>
      </c>
      <c r="Q575" s="9">
        <f t="shared" si="93"/>
        <v>2700</v>
      </c>
      <c r="R575" s="9">
        <f t="shared" si="94"/>
        <v>51300</v>
      </c>
      <c r="S575" s="9" t="str">
        <f t="shared" si="95"/>
        <v>Profit</v>
      </c>
      <c r="T575" s="7" t="str">
        <f t="shared" si="96"/>
        <v>Feb</v>
      </c>
      <c r="U575" s="7">
        <f t="shared" si="97"/>
        <v>2025</v>
      </c>
      <c r="V575" s="7" t="str">
        <f t="shared" si="98"/>
        <v>40-45</v>
      </c>
    </row>
    <row r="576" spans="1:22" x14ac:dyDescent="0.3">
      <c r="A576" s="7" t="s">
        <v>593</v>
      </c>
      <c r="B576" s="8" t="s">
        <v>1597</v>
      </c>
      <c r="C576" s="8">
        <v>25</v>
      </c>
      <c r="D576" s="8" t="s">
        <v>720</v>
      </c>
      <c r="E576" s="8" t="s">
        <v>725</v>
      </c>
      <c r="F576" s="7" t="s">
        <v>1730</v>
      </c>
      <c r="G576" s="7" t="s">
        <v>737</v>
      </c>
      <c r="H576" s="7" t="s">
        <v>902</v>
      </c>
      <c r="I576" s="7" t="s">
        <v>876</v>
      </c>
      <c r="J576" s="7">
        <f t="shared" si="88"/>
        <v>8</v>
      </c>
      <c r="K576" s="9">
        <f t="shared" si="89"/>
        <v>80000</v>
      </c>
      <c r="L576" s="7">
        <v>2</v>
      </c>
      <c r="M576" s="9">
        <f t="shared" si="90"/>
        <v>160000</v>
      </c>
      <c r="N576" s="9">
        <f t="shared" si="91"/>
        <v>96000</v>
      </c>
      <c r="O576" s="7" t="s">
        <v>1007</v>
      </c>
      <c r="P576" s="10">
        <f t="shared" si="92"/>
        <v>0</v>
      </c>
      <c r="Q576" s="9">
        <f t="shared" si="93"/>
        <v>0</v>
      </c>
      <c r="R576" s="9">
        <f t="shared" si="94"/>
        <v>5000</v>
      </c>
      <c r="S576" s="9" t="str">
        <f t="shared" si="95"/>
        <v>Loss</v>
      </c>
      <c r="T576" s="7" t="str">
        <f t="shared" si="96"/>
        <v>Jan</v>
      </c>
      <c r="U576" s="7">
        <f t="shared" si="97"/>
        <v>2025</v>
      </c>
      <c r="V576" s="7" t="str">
        <f t="shared" si="98"/>
        <v>25-30</v>
      </c>
    </row>
    <row r="577" spans="1:22" x14ac:dyDescent="0.3">
      <c r="A577" s="7" t="s">
        <v>594</v>
      </c>
      <c r="B577" s="8" t="s">
        <v>1598</v>
      </c>
      <c r="C577" s="8">
        <v>22</v>
      </c>
      <c r="D577" s="8" t="s">
        <v>720</v>
      </c>
      <c r="E577" s="8" t="s">
        <v>723</v>
      </c>
      <c r="F577" s="7" t="s">
        <v>730</v>
      </c>
      <c r="G577" s="7" t="s">
        <v>855</v>
      </c>
      <c r="H577" s="7" t="s">
        <v>940</v>
      </c>
      <c r="I577" s="7" t="s">
        <v>852</v>
      </c>
      <c r="J577" s="7">
        <f t="shared" si="88"/>
        <v>7</v>
      </c>
      <c r="K577" s="9">
        <f t="shared" si="89"/>
        <v>70000</v>
      </c>
      <c r="L577" s="7">
        <v>1</v>
      </c>
      <c r="M577" s="9">
        <f t="shared" si="90"/>
        <v>70000</v>
      </c>
      <c r="N577" s="9">
        <f t="shared" si="91"/>
        <v>42000</v>
      </c>
      <c r="O577" s="7" t="s">
        <v>1006</v>
      </c>
      <c r="P577" s="10">
        <f t="shared" si="92"/>
        <v>7.0000000000000007E-2</v>
      </c>
      <c r="Q577" s="9">
        <f t="shared" si="93"/>
        <v>4900.0000000000009</v>
      </c>
      <c r="R577" s="9">
        <f t="shared" si="94"/>
        <v>65100</v>
      </c>
      <c r="S577" s="9" t="str">
        <f t="shared" si="95"/>
        <v>Profit</v>
      </c>
      <c r="T577" s="7" t="str">
        <f t="shared" si="96"/>
        <v>Mar</v>
      </c>
      <c r="U577" s="7">
        <f t="shared" si="97"/>
        <v>2025</v>
      </c>
      <c r="V577" s="7" t="str">
        <f t="shared" si="98"/>
        <v>20-25</v>
      </c>
    </row>
    <row r="578" spans="1:22" x14ac:dyDescent="0.3">
      <c r="A578" s="7" t="s">
        <v>595</v>
      </c>
      <c r="B578" s="8" t="s">
        <v>1599</v>
      </c>
      <c r="C578" s="8">
        <v>29</v>
      </c>
      <c r="D578" s="8" t="s">
        <v>721</v>
      </c>
      <c r="E578" s="8" t="s">
        <v>725</v>
      </c>
      <c r="F578" s="7" t="s">
        <v>731</v>
      </c>
      <c r="G578" s="7" t="s">
        <v>839</v>
      </c>
      <c r="H578" s="7" t="s">
        <v>895</v>
      </c>
      <c r="I578" s="7" t="s">
        <v>973</v>
      </c>
      <c r="J578" s="7">
        <f t="shared" si="88"/>
        <v>8</v>
      </c>
      <c r="K578" s="9">
        <f t="shared" si="89"/>
        <v>80000</v>
      </c>
      <c r="L578" s="7">
        <v>2</v>
      </c>
      <c r="M578" s="9">
        <f t="shared" si="90"/>
        <v>160000</v>
      </c>
      <c r="N578" s="9">
        <f t="shared" si="91"/>
        <v>96000</v>
      </c>
      <c r="O578" s="7" t="s">
        <v>1006</v>
      </c>
      <c r="P578" s="10">
        <f t="shared" si="92"/>
        <v>0.12</v>
      </c>
      <c r="Q578" s="9">
        <f t="shared" si="93"/>
        <v>19200</v>
      </c>
      <c r="R578" s="9">
        <f t="shared" si="94"/>
        <v>140800</v>
      </c>
      <c r="S578" s="9" t="str">
        <f t="shared" si="95"/>
        <v>Profit</v>
      </c>
      <c r="T578" s="7" t="str">
        <f t="shared" si="96"/>
        <v>Aug</v>
      </c>
      <c r="U578" s="7">
        <f t="shared" si="97"/>
        <v>2025</v>
      </c>
      <c r="V578" s="7" t="str">
        <f t="shared" si="98"/>
        <v>25-30</v>
      </c>
    </row>
    <row r="579" spans="1:22" x14ac:dyDescent="0.3">
      <c r="A579" s="7" t="s">
        <v>596</v>
      </c>
      <c r="B579" s="8" t="s">
        <v>1600</v>
      </c>
      <c r="C579" s="8">
        <v>37</v>
      </c>
      <c r="D579" s="8" t="s">
        <v>720</v>
      </c>
      <c r="E579" s="8" t="s">
        <v>723</v>
      </c>
      <c r="F579" s="7" t="s">
        <v>1730</v>
      </c>
      <c r="G579" s="7" t="s">
        <v>945</v>
      </c>
      <c r="H579" s="7" t="s">
        <v>847</v>
      </c>
      <c r="I579" s="7" t="s">
        <v>759</v>
      </c>
      <c r="J579" s="7">
        <f t="shared" si="88"/>
        <v>7</v>
      </c>
      <c r="K579" s="9">
        <f t="shared" si="89"/>
        <v>70000</v>
      </c>
      <c r="L579" s="7">
        <v>1</v>
      </c>
      <c r="M579" s="9">
        <f t="shared" si="90"/>
        <v>70000</v>
      </c>
      <c r="N579" s="9">
        <f t="shared" si="91"/>
        <v>42000</v>
      </c>
      <c r="O579" s="7" t="s">
        <v>1007</v>
      </c>
      <c r="P579" s="10">
        <f t="shared" si="92"/>
        <v>0</v>
      </c>
      <c r="Q579" s="9">
        <f t="shared" si="93"/>
        <v>0</v>
      </c>
      <c r="R579" s="9">
        <f t="shared" si="94"/>
        <v>5000</v>
      </c>
      <c r="S579" s="9" t="str">
        <f t="shared" si="95"/>
        <v>Loss</v>
      </c>
      <c r="T579" s="7" t="str">
        <f t="shared" si="96"/>
        <v>Jun</v>
      </c>
      <c r="U579" s="7">
        <f t="shared" si="97"/>
        <v>2025</v>
      </c>
      <c r="V579" s="7" t="str">
        <f t="shared" si="98"/>
        <v>35-40</v>
      </c>
    </row>
    <row r="580" spans="1:22" x14ac:dyDescent="0.3">
      <c r="A580" s="7" t="s">
        <v>597</v>
      </c>
      <c r="B580" s="8" t="s">
        <v>1601</v>
      </c>
      <c r="C580" s="8">
        <v>26</v>
      </c>
      <c r="D580" s="8" t="s">
        <v>721</v>
      </c>
      <c r="E580" s="8" t="s">
        <v>725</v>
      </c>
      <c r="F580" s="7" t="s">
        <v>728</v>
      </c>
      <c r="G580" s="7" t="s">
        <v>947</v>
      </c>
      <c r="H580" s="7" t="s">
        <v>931</v>
      </c>
      <c r="I580" s="7" t="s">
        <v>875</v>
      </c>
      <c r="J580" s="7">
        <f t="shared" ref="J580:J643" si="99">IF(E580="Adventure",5,IF(E580="Domestic",4,IF(E580="Family",7,IF(E580="Honeymoon",8,IF(E580="International",10,"")))))</f>
        <v>8</v>
      </c>
      <c r="K580" s="9">
        <f t="shared" ref="K580:K643" si="100">IF(E580="Adventure",60000,
IF(E580="Domestic",18000,
IF(E580="Family",70000,
IF(E580="Honeymoon",80000,
IF(E580="International",120000,"")))))</f>
        <v>80000</v>
      </c>
      <c r="L580" s="7">
        <v>2</v>
      </c>
      <c r="M580" s="9">
        <f t="shared" ref="M580:M643" si="101">K580*L580</f>
        <v>160000</v>
      </c>
      <c r="N580" s="9">
        <f t="shared" ref="N580:N643" si="102">IF(E580="Adventure",M580*65%,IF(E580="Domestic",M580*50%,IF(E580="Family",M580*60%,IF(E580="Honeymoon",M580*60%,IF(E580="International",M580*65%,0)))))</f>
        <v>96000</v>
      </c>
      <c r="O580" s="7" t="s">
        <v>1006</v>
      </c>
      <c r="P580" s="10">
        <f t="shared" ref="P580:P643" si="103">IF(O580="Cancelled",0,IF(E580="Domestic",5%,IF(E580="Adventure",10%,IF(E580="Family",7%,IF(E580="Honeymoon",12%,IF(E580="International",15%,0))))))</f>
        <v>0.12</v>
      </c>
      <c r="Q580" s="9">
        <f t="shared" ref="Q580:Q643" si="104">M580*P580</f>
        <v>19200</v>
      </c>
      <c r="R580" s="9">
        <f t="shared" ref="R580:R643" si="105">IF(O580="Cancelled",5000,M580-Q580)</f>
        <v>140800</v>
      </c>
      <c r="S580" s="9" t="str">
        <f t="shared" ref="S580:S643" si="106">IF(R580-N580&gt;5000,"Profit","Loss")</f>
        <v>Profit</v>
      </c>
      <c r="T580" s="7" t="str">
        <f t="shared" ref="T580:T643" si="107">TEXT(G580,"mmm")</f>
        <v>Jul</v>
      </c>
      <c r="U580" s="7">
        <f t="shared" ref="U580:U643" si="108">YEAR(G580)</f>
        <v>2025</v>
      </c>
      <c r="V580" s="7" t="str">
        <f t="shared" ref="V580:V643" si="109">FLOOR(C580,5) &amp; "-" &amp; FLOOR(C580,5)+5</f>
        <v>25-30</v>
      </c>
    </row>
    <row r="581" spans="1:22" x14ac:dyDescent="0.3">
      <c r="A581" s="7" t="s">
        <v>598</v>
      </c>
      <c r="B581" s="8" t="s">
        <v>1602</v>
      </c>
      <c r="C581" s="8">
        <v>45</v>
      </c>
      <c r="D581" s="8" t="s">
        <v>721</v>
      </c>
      <c r="E581" s="8" t="s">
        <v>722</v>
      </c>
      <c r="F581" s="7" t="s">
        <v>730</v>
      </c>
      <c r="G581" s="7" t="s">
        <v>886</v>
      </c>
      <c r="H581" s="7" t="s">
        <v>815</v>
      </c>
      <c r="I581" s="7" t="s">
        <v>778</v>
      </c>
      <c r="J581" s="7">
        <f t="shared" si="99"/>
        <v>5</v>
      </c>
      <c r="K581" s="9">
        <f t="shared" si="100"/>
        <v>60000</v>
      </c>
      <c r="L581" s="7">
        <v>2</v>
      </c>
      <c r="M581" s="9">
        <f t="shared" si="101"/>
        <v>120000</v>
      </c>
      <c r="N581" s="9">
        <f t="shared" si="102"/>
        <v>78000</v>
      </c>
      <c r="O581" s="7" t="s">
        <v>1006</v>
      </c>
      <c r="P581" s="10">
        <f t="shared" si="103"/>
        <v>0.1</v>
      </c>
      <c r="Q581" s="9">
        <f t="shared" si="104"/>
        <v>12000</v>
      </c>
      <c r="R581" s="9">
        <f t="shared" si="105"/>
        <v>108000</v>
      </c>
      <c r="S581" s="9" t="str">
        <f t="shared" si="106"/>
        <v>Profit</v>
      </c>
      <c r="T581" s="7" t="str">
        <f t="shared" si="107"/>
        <v>Mar</v>
      </c>
      <c r="U581" s="7">
        <f t="shared" si="108"/>
        <v>2025</v>
      </c>
      <c r="V581" s="7" t="str">
        <f t="shared" si="109"/>
        <v>45-50</v>
      </c>
    </row>
    <row r="582" spans="1:22" x14ac:dyDescent="0.3">
      <c r="A582" s="7" t="s">
        <v>599</v>
      </c>
      <c r="B582" s="8" t="s">
        <v>1603</v>
      </c>
      <c r="C582" s="8">
        <v>38</v>
      </c>
      <c r="D582" s="8" t="s">
        <v>721</v>
      </c>
      <c r="E582" s="8" t="s">
        <v>726</v>
      </c>
      <c r="F582" s="7" t="s">
        <v>1731</v>
      </c>
      <c r="G582" s="7" t="s">
        <v>755</v>
      </c>
      <c r="H582" s="7" t="s">
        <v>805</v>
      </c>
      <c r="I582" s="7" t="s">
        <v>776</v>
      </c>
      <c r="J582" s="7">
        <f t="shared" si="99"/>
        <v>4</v>
      </c>
      <c r="K582" s="9">
        <f t="shared" si="100"/>
        <v>18000</v>
      </c>
      <c r="L582" s="7">
        <v>4</v>
      </c>
      <c r="M582" s="9">
        <f t="shared" si="101"/>
        <v>72000</v>
      </c>
      <c r="N582" s="9">
        <f t="shared" si="102"/>
        <v>36000</v>
      </c>
      <c r="O582" s="7" t="s">
        <v>1006</v>
      </c>
      <c r="P582" s="10">
        <f t="shared" si="103"/>
        <v>0.05</v>
      </c>
      <c r="Q582" s="9">
        <f t="shared" si="104"/>
        <v>3600</v>
      </c>
      <c r="R582" s="9">
        <f t="shared" si="105"/>
        <v>68400</v>
      </c>
      <c r="S582" s="9" t="str">
        <f t="shared" si="106"/>
        <v>Profit</v>
      </c>
      <c r="T582" s="7" t="str">
        <f t="shared" si="107"/>
        <v>May</v>
      </c>
      <c r="U582" s="7">
        <f t="shared" si="108"/>
        <v>2025</v>
      </c>
      <c r="V582" s="7" t="str">
        <f t="shared" si="109"/>
        <v>35-40</v>
      </c>
    </row>
    <row r="583" spans="1:22" x14ac:dyDescent="0.3">
      <c r="A583" s="7" t="s">
        <v>600</v>
      </c>
      <c r="B583" s="8" t="s">
        <v>1604</v>
      </c>
      <c r="C583" s="8">
        <v>51</v>
      </c>
      <c r="D583" s="8" t="s">
        <v>721</v>
      </c>
      <c r="E583" s="8" t="s">
        <v>723</v>
      </c>
      <c r="F583" s="7" t="s">
        <v>730</v>
      </c>
      <c r="G583" s="7" t="s">
        <v>772</v>
      </c>
      <c r="H583" s="7" t="s">
        <v>841</v>
      </c>
      <c r="I583" s="7" t="s">
        <v>987</v>
      </c>
      <c r="J583" s="7">
        <f t="shared" si="99"/>
        <v>7</v>
      </c>
      <c r="K583" s="9">
        <f t="shared" si="100"/>
        <v>70000</v>
      </c>
      <c r="L583" s="7">
        <v>2</v>
      </c>
      <c r="M583" s="9">
        <f t="shared" si="101"/>
        <v>140000</v>
      </c>
      <c r="N583" s="9">
        <f t="shared" si="102"/>
        <v>84000</v>
      </c>
      <c r="O583" s="7" t="s">
        <v>1007</v>
      </c>
      <c r="P583" s="10">
        <f t="shared" si="103"/>
        <v>0</v>
      </c>
      <c r="Q583" s="9">
        <f t="shared" si="104"/>
        <v>0</v>
      </c>
      <c r="R583" s="9">
        <f t="shared" si="105"/>
        <v>5000</v>
      </c>
      <c r="S583" s="9" t="str">
        <f t="shared" si="106"/>
        <v>Loss</v>
      </c>
      <c r="T583" s="7" t="str">
        <f t="shared" si="107"/>
        <v>Aug</v>
      </c>
      <c r="U583" s="7">
        <f t="shared" si="108"/>
        <v>2025</v>
      </c>
      <c r="V583" s="7" t="str">
        <f t="shared" si="109"/>
        <v>50-55</v>
      </c>
    </row>
    <row r="584" spans="1:22" x14ac:dyDescent="0.3">
      <c r="A584" s="7" t="s">
        <v>601</v>
      </c>
      <c r="B584" s="8" t="s">
        <v>1605</v>
      </c>
      <c r="C584" s="8">
        <v>57</v>
      </c>
      <c r="D584" s="8" t="s">
        <v>721</v>
      </c>
      <c r="E584" s="8" t="s">
        <v>722</v>
      </c>
      <c r="F584" s="7" t="s">
        <v>729</v>
      </c>
      <c r="G584" s="7" t="s">
        <v>738</v>
      </c>
      <c r="H584" s="7" t="s">
        <v>745</v>
      </c>
      <c r="I584" s="7" t="s">
        <v>783</v>
      </c>
      <c r="J584" s="7">
        <f t="shared" si="99"/>
        <v>5</v>
      </c>
      <c r="K584" s="9">
        <f t="shared" si="100"/>
        <v>60000</v>
      </c>
      <c r="L584" s="7">
        <v>2</v>
      </c>
      <c r="M584" s="9">
        <f t="shared" si="101"/>
        <v>120000</v>
      </c>
      <c r="N584" s="9">
        <f t="shared" si="102"/>
        <v>78000</v>
      </c>
      <c r="O584" s="7" t="s">
        <v>1006</v>
      </c>
      <c r="P584" s="10">
        <f t="shared" si="103"/>
        <v>0.1</v>
      </c>
      <c r="Q584" s="9">
        <f t="shared" si="104"/>
        <v>12000</v>
      </c>
      <c r="R584" s="9">
        <f t="shared" si="105"/>
        <v>108000</v>
      </c>
      <c r="S584" s="9" t="str">
        <f t="shared" si="106"/>
        <v>Profit</v>
      </c>
      <c r="T584" s="7" t="str">
        <f t="shared" si="107"/>
        <v>May</v>
      </c>
      <c r="U584" s="7">
        <f t="shared" si="108"/>
        <v>2025</v>
      </c>
      <c r="V584" s="7" t="str">
        <f t="shared" si="109"/>
        <v>55-60</v>
      </c>
    </row>
    <row r="585" spans="1:22" x14ac:dyDescent="0.3">
      <c r="A585" s="7" t="s">
        <v>602</v>
      </c>
      <c r="B585" s="8" t="s">
        <v>1606</v>
      </c>
      <c r="C585" s="8">
        <v>30</v>
      </c>
      <c r="D585" s="8" t="s">
        <v>720</v>
      </c>
      <c r="E585" s="8" t="s">
        <v>723</v>
      </c>
      <c r="F585" s="7" t="s">
        <v>727</v>
      </c>
      <c r="G585" s="7" t="s">
        <v>856</v>
      </c>
      <c r="H585" s="7" t="s">
        <v>741</v>
      </c>
      <c r="I585" s="7" t="s">
        <v>815</v>
      </c>
      <c r="J585" s="7">
        <f t="shared" si="99"/>
        <v>7</v>
      </c>
      <c r="K585" s="9">
        <f t="shared" si="100"/>
        <v>70000</v>
      </c>
      <c r="L585" s="7">
        <v>3</v>
      </c>
      <c r="M585" s="9">
        <f t="shared" si="101"/>
        <v>210000</v>
      </c>
      <c r="N585" s="9">
        <f t="shared" si="102"/>
        <v>126000</v>
      </c>
      <c r="O585" s="7" t="s">
        <v>1006</v>
      </c>
      <c r="P585" s="10">
        <f t="shared" si="103"/>
        <v>7.0000000000000007E-2</v>
      </c>
      <c r="Q585" s="9">
        <f t="shared" si="104"/>
        <v>14700.000000000002</v>
      </c>
      <c r="R585" s="9">
        <f t="shared" si="105"/>
        <v>195300</v>
      </c>
      <c r="S585" s="9" t="str">
        <f t="shared" si="106"/>
        <v>Profit</v>
      </c>
      <c r="T585" s="7" t="str">
        <f t="shared" si="107"/>
        <v>Mar</v>
      </c>
      <c r="U585" s="7">
        <f t="shared" si="108"/>
        <v>2025</v>
      </c>
      <c r="V585" s="7" t="str">
        <f t="shared" si="109"/>
        <v>30-35</v>
      </c>
    </row>
    <row r="586" spans="1:22" x14ac:dyDescent="0.3">
      <c r="A586" s="7" t="s">
        <v>603</v>
      </c>
      <c r="B586" s="8" t="s">
        <v>1607</v>
      </c>
      <c r="C586" s="8">
        <v>58</v>
      </c>
      <c r="D586" s="8" t="s">
        <v>720</v>
      </c>
      <c r="E586" s="8" t="s">
        <v>724</v>
      </c>
      <c r="F586" s="7" t="s">
        <v>730</v>
      </c>
      <c r="G586" s="7" t="s">
        <v>948</v>
      </c>
      <c r="H586" s="7" t="s">
        <v>848</v>
      </c>
      <c r="I586" s="7" t="s">
        <v>908</v>
      </c>
      <c r="J586" s="7">
        <f t="shared" si="99"/>
        <v>10</v>
      </c>
      <c r="K586" s="9">
        <f t="shared" si="100"/>
        <v>120000</v>
      </c>
      <c r="L586" s="7">
        <v>4</v>
      </c>
      <c r="M586" s="9">
        <f t="shared" si="101"/>
        <v>480000</v>
      </c>
      <c r="N586" s="9">
        <f t="shared" si="102"/>
        <v>312000</v>
      </c>
      <c r="O586" s="7" t="s">
        <v>1007</v>
      </c>
      <c r="P586" s="10">
        <f t="shared" si="103"/>
        <v>0</v>
      </c>
      <c r="Q586" s="9">
        <f t="shared" si="104"/>
        <v>0</v>
      </c>
      <c r="R586" s="9">
        <f t="shared" si="105"/>
        <v>5000</v>
      </c>
      <c r="S586" s="9" t="str">
        <f t="shared" si="106"/>
        <v>Loss</v>
      </c>
      <c r="T586" s="7" t="str">
        <f t="shared" si="107"/>
        <v>Mar</v>
      </c>
      <c r="U586" s="7">
        <f t="shared" si="108"/>
        <v>2025</v>
      </c>
      <c r="V586" s="7" t="str">
        <f t="shared" si="109"/>
        <v>55-60</v>
      </c>
    </row>
    <row r="587" spans="1:22" x14ac:dyDescent="0.3">
      <c r="A587" s="7" t="s">
        <v>604</v>
      </c>
      <c r="B587" s="8" t="s">
        <v>1608</v>
      </c>
      <c r="C587" s="8">
        <v>51</v>
      </c>
      <c r="D587" s="8" t="s">
        <v>721</v>
      </c>
      <c r="E587" s="8" t="s">
        <v>723</v>
      </c>
      <c r="F587" s="7" t="s">
        <v>734</v>
      </c>
      <c r="G587" s="7" t="s">
        <v>949</v>
      </c>
      <c r="H587" s="7" t="s">
        <v>926</v>
      </c>
      <c r="I587" s="7" t="s">
        <v>941</v>
      </c>
      <c r="J587" s="7">
        <f t="shared" si="99"/>
        <v>7</v>
      </c>
      <c r="K587" s="9">
        <f t="shared" si="100"/>
        <v>70000</v>
      </c>
      <c r="L587" s="7">
        <v>4</v>
      </c>
      <c r="M587" s="9">
        <f t="shared" si="101"/>
        <v>280000</v>
      </c>
      <c r="N587" s="9">
        <f t="shared" si="102"/>
        <v>168000</v>
      </c>
      <c r="O587" s="7" t="s">
        <v>1006</v>
      </c>
      <c r="P587" s="10">
        <f t="shared" si="103"/>
        <v>7.0000000000000007E-2</v>
      </c>
      <c r="Q587" s="9">
        <f t="shared" si="104"/>
        <v>19600.000000000004</v>
      </c>
      <c r="R587" s="9">
        <f t="shared" si="105"/>
        <v>260400</v>
      </c>
      <c r="S587" s="9" t="str">
        <f t="shared" si="106"/>
        <v>Profit</v>
      </c>
      <c r="T587" s="7" t="str">
        <f t="shared" si="107"/>
        <v>Jul</v>
      </c>
      <c r="U587" s="7">
        <f t="shared" si="108"/>
        <v>2025</v>
      </c>
      <c r="V587" s="7" t="str">
        <f t="shared" si="109"/>
        <v>50-55</v>
      </c>
    </row>
    <row r="588" spans="1:22" x14ac:dyDescent="0.3">
      <c r="A588" s="7" t="s">
        <v>605</v>
      </c>
      <c r="B588" s="8" t="s">
        <v>1609</v>
      </c>
      <c r="C588" s="8">
        <v>33</v>
      </c>
      <c r="D588" s="8" t="s">
        <v>720</v>
      </c>
      <c r="E588" s="8" t="s">
        <v>724</v>
      </c>
      <c r="F588" s="7" t="s">
        <v>734</v>
      </c>
      <c r="G588" s="7" t="s">
        <v>950</v>
      </c>
      <c r="H588" s="7" t="s">
        <v>763</v>
      </c>
      <c r="I588" s="7" t="s">
        <v>986</v>
      </c>
      <c r="J588" s="7">
        <f t="shared" si="99"/>
        <v>10</v>
      </c>
      <c r="K588" s="9">
        <f t="shared" si="100"/>
        <v>120000</v>
      </c>
      <c r="L588" s="7">
        <v>2</v>
      </c>
      <c r="M588" s="9">
        <f t="shared" si="101"/>
        <v>240000</v>
      </c>
      <c r="N588" s="9">
        <f t="shared" si="102"/>
        <v>156000</v>
      </c>
      <c r="O588" s="7" t="s">
        <v>1006</v>
      </c>
      <c r="P588" s="10">
        <f t="shared" si="103"/>
        <v>0.15</v>
      </c>
      <c r="Q588" s="9">
        <f t="shared" si="104"/>
        <v>36000</v>
      </c>
      <c r="R588" s="9">
        <f t="shared" si="105"/>
        <v>204000</v>
      </c>
      <c r="S588" s="9" t="str">
        <f t="shared" si="106"/>
        <v>Profit</v>
      </c>
      <c r="T588" s="7" t="str">
        <f t="shared" si="107"/>
        <v>Jan</v>
      </c>
      <c r="U588" s="7">
        <f t="shared" si="108"/>
        <v>2025</v>
      </c>
      <c r="V588" s="7" t="str">
        <f t="shared" si="109"/>
        <v>30-35</v>
      </c>
    </row>
    <row r="589" spans="1:22" x14ac:dyDescent="0.3">
      <c r="A589" s="7" t="s">
        <v>606</v>
      </c>
      <c r="B589" s="8" t="s">
        <v>1610</v>
      </c>
      <c r="C589" s="8">
        <v>22</v>
      </c>
      <c r="D589" s="8" t="s">
        <v>721</v>
      </c>
      <c r="E589" s="8" t="s">
        <v>724</v>
      </c>
      <c r="F589" s="7" t="s">
        <v>1735</v>
      </c>
      <c r="G589" s="7" t="s">
        <v>816</v>
      </c>
      <c r="H589" s="7" t="s">
        <v>883</v>
      </c>
      <c r="I589" s="7" t="s">
        <v>783</v>
      </c>
      <c r="J589" s="7">
        <f t="shared" si="99"/>
        <v>10</v>
      </c>
      <c r="K589" s="9">
        <f t="shared" si="100"/>
        <v>120000</v>
      </c>
      <c r="L589" s="7">
        <v>3</v>
      </c>
      <c r="M589" s="9">
        <f t="shared" si="101"/>
        <v>360000</v>
      </c>
      <c r="N589" s="9">
        <f t="shared" si="102"/>
        <v>234000</v>
      </c>
      <c r="O589" s="7" t="s">
        <v>1007</v>
      </c>
      <c r="P589" s="10">
        <f t="shared" si="103"/>
        <v>0</v>
      </c>
      <c r="Q589" s="9">
        <f t="shared" si="104"/>
        <v>0</v>
      </c>
      <c r="R589" s="9">
        <f t="shared" si="105"/>
        <v>5000</v>
      </c>
      <c r="S589" s="9" t="str">
        <f t="shared" si="106"/>
        <v>Loss</v>
      </c>
      <c r="T589" s="7" t="str">
        <f t="shared" si="107"/>
        <v>May</v>
      </c>
      <c r="U589" s="7">
        <f t="shared" si="108"/>
        <v>2025</v>
      </c>
      <c r="V589" s="7" t="str">
        <f t="shared" si="109"/>
        <v>20-25</v>
      </c>
    </row>
    <row r="590" spans="1:22" x14ac:dyDescent="0.3">
      <c r="A590" s="7" t="s">
        <v>607</v>
      </c>
      <c r="B590" s="8" t="s">
        <v>1611</v>
      </c>
      <c r="C590" s="8">
        <v>52</v>
      </c>
      <c r="D590" s="8" t="s">
        <v>721</v>
      </c>
      <c r="E590" s="8" t="s">
        <v>726</v>
      </c>
      <c r="F590" s="7" t="s">
        <v>731</v>
      </c>
      <c r="G590" s="7" t="s">
        <v>909</v>
      </c>
      <c r="H590" s="7" t="s">
        <v>854</v>
      </c>
      <c r="I590" s="7" t="s">
        <v>789</v>
      </c>
      <c r="J590" s="7">
        <f t="shared" si="99"/>
        <v>4</v>
      </c>
      <c r="K590" s="9">
        <f t="shared" si="100"/>
        <v>18000</v>
      </c>
      <c r="L590" s="7">
        <v>4</v>
      </c>
      <c r="M590" s="9">
        <f t="shared" si="101"/>
        <v>72000</v>
      </c>
      <c r="N590" s="9">
        <f t="shared" si="102"/>
        <v>36000</v>
      </c>
      <c r="O590" s="7" t="s">
        <v>1007</v>
      </c>
      <c r="P590" s="10">
        <f t="shared" si="103"/>
        <v>0</v>
      </c>
      <c r="Q590" s="9">
        <f t="shared" si="104"/>
        <v>0</v>
      </c>
      <c r="R590" s="9">
        <f t="shared" si="105"/>
        <v>5000</v>
      </c>
      <c r="S590" s="9" t="str">
        <f t="shared" si="106"/>
        <v>Loss</v>
      </c>
      <c r="T590" s="7" t="str">
        <f t="shared" si="107"/>
        <v>Apr</v>
      </c>
      <c r="U590" s="7">
        <f t="shared" si="108"/>
        <v>2025</v>
      </c>
      <c r="V590" s="7" t="str">
        <f t="shared" si="109"/>
        <v>50-55</v>
      </c>
    </row>
    <row r="591" spans="1:22" x14ac:dyDescent="0.3">
      <c r="A591" s="7" t="s">
        <v>608</v>
      </c>
      <c r="B591" s="8" t="s">
        <v>1612</v>
      </c>
      <c r="C591" s="8">
        <v>26</v>
      </c>
      <c r="D591" s="8" t="s">
        <v>721</v>
      </c>
      <c r="E591" s="8" t="s">
        <v>725</v>
      </c>
      <c r="F591" s="7" t="s">
        <v>734</v>
      </c>
      <c r="G591" s="7" t="s">
        <v>825</v>
      </c>
      <c r="H591" s="7" t="s">
        <v>894</v>
      </c>
      <c r="I591" s="7" t="s">
        <v>921</v>
      </c>
      <c r="J591" s="7">
        <f t="shared" si="99"/>
        <v>8</v>
      </c>
      <c r="K591" s="9">
        <f t="shared" si="100"/>
        <v>80000</v>
      </c>
      <c r="L591" s="7">
        <v>2</v>
      </c>
      <c r="M591" s="9">
        <f t="shared" si="101"/>
        <v>160000</v>
      </c>
      <c r="N591" s="9">
        <f t="shared" si="102"/>
        <v>96000</v>
      </c>
      <c r="O591" s="7" t="s">
        <v>1007</v>
      </c>
      <c r="P591" s="10">
        <f t="shared" si="103"/>
        <v>0</v>
      </c>
      <c r="Q591" s="9">
        <f t="shared" si="104"/>
        <v>0</v>
      </c>
      <c r="R591" s="9">
        <f t="shared" si="105"/>
        <v>5000</v>
      </c>
      <c r="S591" s="9" t="str">
        <f t="shared" si="106"/>
        <v>Loss</v>
      </c>
      <c r="T591" s="7" t="str">
        <f t="shared" si="107"/>
        <v>Mar</v>
      </c>
      <c r="U591" s="7">
        <f t="shared" si="108"/>
        <v>2025</v>
      </c>
      <c r="V591" s="7" t="str">
        <f t="shared" si="109"/>
        <v>25-30</v>
      </c>
    </row>
    <row r="592" spans="1:22" x14ac:dyDescent="0.3">
      <c r="A592" s="7" t="s">
        <v>609</v>
      </c>
      <c r="B592" s="8" t="s">
        <v>1613</v>
      </c>
      <c r="C592" s="8">
        <v>53</v>
      </c>
      <c r="D592" s="8" t="s">
        <v>721</v>
      </c>
      <c r="E592" s="8" t="s">
        <v>724</v>
      </c>
      <c r="F592" s="7" t="s">
        <v>733</v>
      </c>
      <c r="G592" s="7" t="s">
        <v>837</v>
      </c>
      <c r="H592" s="7" t="s">
        <v>849</v>
      </c>
      <c r="I592" s="7" t="s">
        <v>934</v>
      </c>
      <c r="J592" s="7">
        <f t="shared" si="99"/>
        <v>10</v>
      </c>
      <c r="K592" s="9">
        <f t="shared" si="100"/>
        <v>120000</v>
      </c>
      <c r="L592" s="7">
        <v>1</v>
      </c>
      <c r="M592" s="9">
        <f t="shared" si="101"/>
        <v>120000</v>
      </c>
      <c r="N592" s="9">
        <f t="shared" si="102"/>
        <v>78000</v>
      </c>
      <c r="O592" s="7" t="s">
        <v>1006</v>
      </c>
      <c r="P592" s="10">
        <f t="shared" si="103"/>
        <v>0.15</v>
      </c>
      <c r="Q592" s="9">
        <f t="shared" si="104"/>
        <v>18000</v>
      </c>
      <c r="R592" s="9">
        <f t="shared" si="105"/>
        <v>102000</v>
      </c>
      <c r="S592" s="9" t="str">
        <f t="shared" si="106"/>
        <v>Profit</v>
      </c>
      <c r="T592" s="7" t="str">
        <f t="shared" si="107"/>
        <v>Jan</v>
      </c>
      <c r="U592" s="7">
        <f t="shared" si="108"/>
        <v>2025</v>
      </c>
      <c r="V592" s="7" t="str">
        <f t="shared" si="109"/>
        <v>50-55</v>
      </c>
    </row>
    <row r="593" spans="1:22" x14ac:dyDescent="0.3">
      <c r="A593" s="7" t="s">
        <v>610</v>
      </c>
      <c r="B593" s="8" t="s">
        <v>1614</v>
      </c>
      <c r="C593" s="8">
        <v>26</v>
      </c>
      <c r="D593" s="8" t="s">
        <v>720</v>
      </c>
      <c r="E593" s="8" t="s">
        <v>723</v>
      </c>
      <c r="F593" s="7" t="s">
        <v>733</v>
      </c>
      <c r="G593" s="7" t="s">
        <v>769</v>
      </c>
      <c r="H593" s="7" t="s">
        <v>878</v>
      </c>
      <c r="I593" s="7" t="s">
        <v>855</v>
      </c>
      <c r="J593" s="7">
        <f t="shared" si="99"/>
        <v>7</v>
      </c>
      <c r="K593" s="9">
        <f t="shared" si="100"/>
        <v>70000</v>
      </c>
      <c r="L593" s="7">
        <v>1</v>
      </c>
      <c r="M593" s="9">
        <f t="shared" si="101"/>
        <v>70000</v>
      </c>
      <c r="N593" s="9">
        <f t="shared" si="102"/>
        <v>42000</v>
      </c>
      <c r="O593" s="7" t="s">
        <v>1007</v>
      </c>
      <c r="P593" s="10">
        <f t="shared" si="103"/>
        <v>0</v>
      </c>
      <c r="Q593" s="9">
        <f t="shared" si="104"/>
        <v>0</v>
      </c>
      <c r="R593" s="9">
        <f t="shared" si="105"/>
        <v>5000</v>
      </c>
      <c r="S593" s="9" t="str">
        <f t="shared" si="106"/>
        <v>Loss</v>
      </c>
      <c r="T593" s="7" t="str">
        <f t="shared" si="107"/>
        <v>Feb</v>
      </c>
      <c r="U593" s="7">
        <f t="shared" si="108"/>
        <v>2025</v>
      </c>
      <c r="V593" s="7" t="str">
        <f t="shared" si="109"/>
        <v>25-30</v>
      </c>
    </row>
    <row r="594" spans="1:22" x14ac:dyDescent="0.3">
      <c r="A594" s="7" t="s">
        <v>611</v>
      </c>
      <c r="B594" s="8" t="s">
        <v>1615</v>
      </c>
      <c r="C594" s="8">
        <v>48</v>
      </c>
      <c r="D594" s="8" t="s">
        <v>721</v>
      </c>
      <c r="E594" s="8" t="s">
        <v>724</v>
      </c>
      <c r="F594" s="7" t="s">
        <v>734</v>
      </c>
      <c r="G594" s="7" t="s">
        <v>752</v>
      </c>
      <c r="H594" s="7" t="s">
        <v>824</v>
      </c>
      <c r="I594" s="7" t="s">
        <v>800</v>
      </c>
      <c r="J594" s="7">
        <f t="shared" si="99"/>
        <v>10</v>
      </c>
      <c r="K594" s="9">
        <f t="shared" si="100"/>
        <v>120000</v>
      </c>
      <c r="L594" s="7">
        <v>3</v>
      </c>
      <c r="M594" s="9">
        <f t="shared" si="101"/>
        <v>360000</v>
      </c>
      <c r="N594" s="9">
        <f t="shared" si="102"/>
        <v>234000</v>
      </c>
      <c r="O594" s="7" t="s">
        <v>1007</v>
      </c>
      <c r="P594" s="10">
        <f t="shared" si="103"/>
        <v>0</v>
      </c>
      <c r="Q594" s="9">
        <f t="shared" si="104"/>
        <v>0</v>
      </c>
      <c r="R594" s="9">
        <f t="shared" si="105"/>
        <v>5000</v>
      </c>
      <c r="S594" s="9" t="str">
        <f t="shared" si="106"/>
        <v>Loss</v>
      </c>
      <c r="T594" s="7" t="str">
        <f t="shared" si="107"/>
        <v>May</v>
      </c>
      <c r="U594" s="7">
        <f t="shared" si="108"/>
        <v>2025</v>
      </c>
      <c r="V594" s="7" t="str">
        <f t="shared" si="109"/>
        <v>45-50</v>
      </c>
    </row>
    <row r="595" spans="1:22" x14ac:dyDescent="0.3">
      <c r="A595" s="7" t="s">
        <v>612</v>
      </c>
      <c r="B595" s="8" t="s">
        <v>1616</v>
      </c>
      <c r="C595" s="8">
        <v>32</v>
      </c>
      <c r="D595" s="8" t="s">
        <v>720</v>
      </c>
      <c r="E595" s="8" t="s">
        <v>722</v>
      </c>
      <c r="F595" s="7" t="s">
        <v>727</v>
      </c>
      <c r="G595" s="7" t="s">
        <v>850</v>
      </c>
      <c r="H595" s="7" t="s">
        <v>952</v>
      </c>
      <c r="I595" s="7" t="s">
        <v>924</v>
      </c>
      <c r="J595" s="7">
        <f t="shared" si="99"/>
        <v>5</v>
      </c>
      <c r="K595" s="9">
        <f t="shared" si="100"/>
        <v>60000</v>
      </c>
      <c r="L595" s="7">
        <v>4</v>
      </c>
      <c r="M595" s="9">
        <f t="shared" si="101"/>
        <v>240000</v>
      </c>
      <c r="N595" s="9">
        <f t="shared" si="102"/>
        <v>156000</v>
      </c>
      <c r="O595" s="7" t="s">
        <v>1006</v>
      </c>
      <c r="P595" s="10">
        <f t="shared" si="103"/>
        <v>0.1</v>
      </c>
      <c r="Q595" s="9">
        <f t="shared" si="104"/>
        <v>24000</v>
      </c>
      <c r="R595" s="9">
        <f t="shared" si="105"/>
        <v>216000</v>
      </c>
      <c r="S595" s="9" t="str">
        <f t="shared" si="106"/>
        <v>Profit</v>
      </c>
      <c r="T595" s="7" t="str">
        <f t="shared" si="107"/>
        <v>May</v>
      </c>
      <c r="U595" s="7">
        <f t="shared" si="108"/>
        <v>2025</v>
      </c>
      <c r="V595" s="7" t="str">
        <f t="shared" si="109"/>
        <v>30-35</v>
      </c>
    </row>
    <row r="596" spans="1:22" x14ac:dyDescent="0.3">
      <c r="A596" s="7" t="s">
        <v>613</v>
      </c>
      <c r="B596" s="8" t="s">
        <v>1617</v>
      </c>
      <c r="C596" s="8">
        <v>44</v>
      </c>
      <c r="D596" s="8" t="s">
        <v>720</v>
      </c>
      <c r="E596" s="8" t="s">
        <v>723</v>
      </c>
      <c r="F596" s="7" t="s">
        <v>727</v>
      </c>
      <c r="G596" s="7" t="s">
        <v>779</v>
      </c>
      <c r="H596" s="7" t="s">
        <v>805</v>
      </c>
      <c r="I596" s="7" t="s">
        <v>850</v>
      </c>
      <c r="J596" s="7">
        <f t="shared" si="99"/>
        <v>7</v>
      </c>
      <c r="K596" s="9">
        <f t="shared" si="100"/>
        <v>70000</v>
      </c>
      <c r="L596" s="7">
        <v>2</v>
      </c>
      <c r="M596" s="9">
        <f t="shared" si="101"/>
        <v>140000</v>
      </c>
      <c r="N596" s="9">
        <f t="shared" si="102"/>
        <v>84000</v>
      </c>
      <c r="O596" s="7" t="s">
        <v>1007</v>
      </c>
      <c r="P596" s="10">
        <f t="shared" si="103"/>
        <v>0</v>
      </c>
      <c r="Q596" s="9">
        <f t="shared" si="104"/>
        <v>0</v>
      </c>
      <c r="R596" s="9">
        <f t="shared" si="105"/>
        <v>5000</v>
      </c>
      <c r="S596" s="9" t="str">
        <f t="shared" si="106"/>
        <v>Loss</v>
      </c>
      <c r="T596" s="7" t="str">
        <f t="shared" si="107"/>
        <v>May</v>
      </c>
      <c r="U596" s="7">
        <f t="shared" si="108"/>
        <v>2025</v>
      </c>
      <c r="V596" s="7" t="str">
        <f t="shared" si="109"/>
        <v>40-45</v>
      </c>
    </row>
    <row r="597" spans="1:22" x14ac:dyDescent="0.3">
      <c r="A597" s="7" t="s">
        <v>614</v>
      </c>
      <c r="B597" s="8" t="s">
        <v>1618</v>
      </c>
      <c r="C597" s="8">
        <v>31</v>
      </c>
      <c r="D597" s="8" t="s">
        <v>720</v>
      </c>
      <c r="E597" s="8" t="s">
        <v>722</v>
      </c>
      <c r="F597" s="7" t="s">
        <v>735</v>
      </c>
      <c r="G597" s="7" t="s">
        <v>772</v>
      </c>
      <c r="H597" s="7" t="s">
        <v>841</v>
      </c>
      <c r="I597" s="7" t="s">
        <v>967</v>
      </c>
      <c r="J597" s="7">
        <f t="shared" si="99"/>
        <v>5</v>
      </c>
      <c r="K597" s="9">
        <f t="shared" si="100"/>
        <v>60000</v>
      </c>
      <c r="L597" s="7">
        <v>4</v>
      </c>
      <c r="M597" s="9">
        <f t="shared" si="101"/>
        <v>240000</v>
      </c>
      <c r="N597" s="9">
        <f t="shared" si="102"/>
        <v>156000</v>
      </c>
      <c r="O597" s="7" t="s">
        <v>1006</v>
      </c>
      <c r="P597" s="10">
        <f t="shared" si="103"/>
        <v>0.1</v>
      </c>
      <c r="Q597" s="9">
        <f t="shared" si="104"/>
        <v>24000</v>
      </c>
      <c r="R597" s="9">
        <f t="shared" si="105"/>
        <v>216000</v>
      </c>
      <c r="S597" s="9" t="str">
        <f t="shared" si="106"/>
        <v>Profit</v>
      </c>
      <c r="T597" s="7" t="str">
        <f t="shared" si="107"/>
        <v>Aug</v>
      </c>
      <c r="U597" s="7">
        <f t="shared" si="108"/>
        <v>2025</v>
      </c>
      <c r="V597" s="7" t="str">
        <f t="shared" si="109"/>
        <v>30-35</v>
      </c>
    </row>
    <row r="598" spans="1:22" x14ac:dyDescent="0.3">
      <c r="A598" s="7" t="s">
        <v>615</v>
      </c>
      <c r="B598" s="8" t="s">
        <v>1619</v>
      </c>
      <c r="C598" s="8">
        <v>46</v>
      </c>
      <c r="D598" s="8" t="s">
        <v>720</v>
      </c>
      <c r="E598" s="8" t="s">
        <v>723</v>
      </c>
      <c r="F598" s="7" t="s">
        <v>730</v>
      </c>
      <c r="G598" s="7" t="s">
        <v>819</v>
      </c>
      <c r="H598" s="7" t="s">
        <v>806</v>
      </c>
      <c r="I598" s="7" t="s">
        <v>922</v>
      </c>
      <c r="J598" s="7">
        <f t="shared" si="99"/>
        <v>7</v>
      </c>
      <c r="K598" s="9">
        <f t="shared" si="100"/>
        <v>70000</v>
      </c>
      <c r="L598" s="7">
        <v>1</v>
      </c>
      <c r="M598" s="9">
        <f t="shared" si="101"/>
        <v>70000</v>
      </c>
      <c r="N598" s="9">
        <f t="shared" si="102"/>
        <v>42000</v>
      </c>
      <c r="O598" s="7" t="s">
        <v>1007</v>
      </c>
      <c r="P598" s="10">
        <f t="shared" si="103"/>
        <v>0</v>
      </c>
      <c r="Q598" s="9">
        <f t="shared" si="104"/>
        <v>0</v>
      </c>
      <c r="R598" s="9">
        <f t="shared" si="105"/>
        <v>5000</v>
      </c>
      <c r="S598" s="9" t="str">
        <f t="shared" si="106"/>
        <v>Loss</v>
      </c>
      <c r="T598" s="7" t="str">
        <f t="shared" si="107"/>
        <v>Jan</v>
      </c>
      <c r="U598" s="7">
        <f t="shared" si="108"/>
        <v>2025</v>
      </c>
      <c r="V598" s="7" t="str">
        <f t="shared" si="109"/>
        <v>45-50</v>
      </c>
    </row>
    <row r="599" spans="1:22" x14ac:dyDescent="0.3">
      <c r="A599" s="7" t="s">
        <v>616</v>
      </c>
      <c r="B599" s="8" t="s">
        <v>1620</v>
      </c>
      <c r="C599" s="8">
        <v>31</v>
      </c>
      <c r="D599" s="8" t="s">
        <v>720</v>
      </c>
      <c r="E599" s="8" t="s">
        <v>725</v>
      </c>
      <c r="F599" s="7" t="s">
        <v>734</v>
      </c>
      <c r="G599" s="7" t="s">
        <v>951</v>
      </c>
      <c r="H599" s="7" t="s">
        <v>912</v>
      </c>
      <c r="I599" s="7" t="s">
        <v>827</v>
      </c>
      <c r="J599" s="7">
        <f t="shared" si="99"/>
        <v>8</v>
      </c>
      <c r="K599" s="9">
        <f t="shared" si="100"/>
        <v>80000</v>
      </c>
      <c r="L599" s="7">
        <v>2</v>
      </c>
      <c r="M599" s="9">
        <f t="shared" si="101"/>
        <v>160000</v>
      </c>
      <c r="N599" s="9">
        <f t="shared" si="102"/>
        <v>96000</v>
      </c>
      <c r="O599" s="7" t="s">
        <v>1006</v>
      </c>
      <c r="P599" s="10">
        <f t="shared" si="103"/>
        <v>0.12</v>
      </c>
      <c r="Q599" s="9">
        <f t="shared" si="104"/>
        <v>19200</v>
      </c>
      <c r="R599" s="9">
        <f t="shared" si="105"/>
        <v>140800</v>
      </c>
      <c r="S599" s="9" t="str">
        <f t="shared" si="106"/>
        <v>Profit</v>
      </c>
      <c r="T599" s="7" t="str">
        <f t="shared" si="107"/>
        <v>Apr</v>
      </c>
      <c r="U599" s="7">
        <f t="shared" si="108"/>
        <v>2025</v>
      </c>
      <c r="V599" s="7" t="str">
        <f t="shared" si="109"/>
        <v>30-35</v>
      </c>
    </row>
    <row r="600" spans="1:22" x14ac:dyDescent="0.3">
      <c r="A600" s="7" t="s">
        <v>617</v>
      </c>
      <c r="B600" s="8" t="s">
        <v>1621</v>
      </c>
      <c r="C600" s="8">
        <v>28</v>
      </c>
      <c r="D600" s="8" t="s">
        <v>721</v>
      </c>
      <c r="E600" s="8" t="s">
        <v>725</v>
      </c>
      <c r="F600" s="7" t="s">
        <v>1730</v>
      </c>
      <c r="G600" s="7" t="s">
        <v>849</v>
      </c>
      <c r="H600" s="7" t="s">
        <v>861</v>
      </c>
      <c r="I600" s="7" t="s">
        <v>798</v>
      </c>
      <c r="J600" s="7">
        <f t="shared" si="99"/>
        <v>8</v>
      </c>
      <c r="K600" s="9">
        <f t="shared" si="100"/>
        <v>80000</v>
      </c>
      <c r="L600" s="7">
        <v>2</v>
      </c>
      <c r="M600" s="9">
        <f t="shared" si="101"/>
        <v>160000</v>
      </c>
      <c r="N600" s="9">
        <f t="shared" si="102"/>
        <v>96000</v>
      </c>
      <c r="O600" s="7" t="s">
        <v>1007</v>
      </c>
      <c r="P600" s="10">
        <f t="shared" si="103"/>
        <v>0</v>
      </c>
      <c r="Q600" s="9">
        <f t="shared" si="104"/>
        <v>0</v>
      </c>
      <c r="R600" s="9">
        <f t="shared" si="105"/>
        <v>5000</v>
      </c>
      <c r="S600" s="9" t="str">
        <f t="shared" si="106"/>
        <v>Loss</v>
      </c>
      <c r="T600" s="7" t="str">
        <f t="shared" si="107"/>
        <v>Jan</v>
      </c>
      <c r="U600" s="7">
        <f t="shared" si="108"/>
        <v>2025</v>
      </c>
      <c r="V600" s="7" t="str">
        <f t="shared" si="109"/>
        <v>25-30</v>
      </c>
    </row>
    <row r="601" spans="1:22" x14ac:dyDescent="0.3">
      <c r="A601" s="7" t="s">
        <v>618</v>
      </c>
      <c r="B601" s="8" t="s">
        <v>1622</v>
      </c>
      <c r="C601" s="8">
        <v>53</v>
      </c>
      <c r="D601" s="8" t="s">
        <v>720</v>
      </c>
      <c r="E601" s="8" t="s">
        <v>724</v>
      </c>
      <c r="F601" s="7" t="s">
        <v>1735</v>
      </c>
      <c r="G601" s="7" t="s">
        <v>865</v>
      </c>
      <c r="H601" s="7" t="s">
        <v>873</v>
      </c>
      <c r="I601" s="7" t="s">
        <v>996</v>
      </c>
      <c r="J601" s="7">
        <f t="shared" si="99"/>
        <v>10</v>
      </c>
      <c r="K601" s="9">
        <f t="shared" si="100"/>
        <v>120000</v>
      </c>
      <c r="L601" s="7">
        <v>2</v>
      </c>
      <c r="M601" s="9">
        <f t="shared" si="101"/>
        <v>240000</v>
      </c>
      <c r="N601" s="9">
        <f t="shared" si="102"/>
        <v>156000</v>
      </c>
      <c r="O601" s="7" t="s">
        <v>1006</v>
      </c>
      <c r="P601" s="10">
        <f t="shared" si="103"/>
        <v>0.15</v>
      </c>
      <c r="Q601" s="9">
        <f t="shared" si="104"/>
        <v>36000</v>
      </c>
      <c r="R601" s="9">
        <f t="shared" si="105"/>
        <v>204000</v>
      </c>
      <c r="S601" s="9" t="str">
        <f t="shared" si="106"/>
        <v>Profit</v>
      </c>
      <c r="T601" s="7" t="str">
        <f t="shared" si="107"/>
        <v>Jul</v>
      </c>
      <c r="U601" s="7">
        <f t="shared" si="108"/>
        <v>2025</v>
      </c>
      <c r="V601" s="7" t="str">
        <f t="shared" si="109"/>
        <v>50-55</v>
      </c>
    </row>
    <row r="602" spans="1:22" x14ac:dyDescent="0.3">
      <c r="A602" s="7" t="s">
        <v>619</v>
      </c>
      <c r="B602" s="8" t="s">
        <v>1623</v>
      </c>
      <c r="C602" s="8">
        <v>50</v>
      </c>
      <c r="D602" s="8" t="s">
        <v>721</v>
      </c>
      <c r="E602" s="8" t="s">
        <v>726</v>
      </c>
      <c r="F602" s="7" t="s">
        <v>1730</v>
      </c>
      <c r="G602" s="7" t="s">
        <v>829</v>
      </c>
      <c r="H602" s="7" t="s">
        <v>777</v>
      </c>
      <c r="I602" s="7" t="s">
        <v>865</v>
      </c>
      <c r="J602" s="7">
        <f t="shared" si="99"/>
        <v>4</v>
      </c>
      <c r="K602" s="9">
        <f t="shared" si="100"/>
        <v>18000</v>
      </c>
      <c r="L602" s="7">
        <v>3</v>
      </c>
      <c r="M602" s="9">
        <f t="shared" si="101"/>
        <v>54000</v>
      </c>
      <c r="N602" s="9">
        <f t="shared" si="102"/>
        <v>27000</v>
      </c>
      <c r="O602" s="7" t="s">
        <v>1006</v>
      </c>
      <c r="P602" s="10">
        <f t="shared" si="103"/>
        <v>0.05</v>
      </c>
      <c r="Q602" s="9">
        <f t="shared" si="104"/>
        <v>2700</v>
      </c>
      <c r="R602" s="9">
        <f t="shared" si="105"/>
        <v>51300</v>
      </c>
      <c r="S602" s="9" t="str">
        <f t="shared" si="106"/>
        <v>Profit</v>
      </c>
      <c r="T602" s="7" t="str">
        <f t="shared" si="107"/>
        <v>Jun</v>
      </c>
      <c r="U602" s="7">
        <f t="shared" si="108"/>
        <v>2025</v>
      </c>
      <c r="V602" s="7" t="str">
        <f t="shared" si="109"/>
        <v>50-55</v>
      </c>
    </row>
    <row r="603" spans="1:22" x14ac:dyDescent="0.3">
      <c r="A603" s="7" t="s">
        <v>620</v>
      </c>
      <c r="B603" s="8" t="s">
        <v>1624</v>
      </c>
      <c r="C603" s="8">
        <v>52</v>
      </c>
      <c r="D603" s="8" t="s">
        <v>720</v>
      </c>
      <c r="E603" s="8" t="s">
        <v>726</v>
      </c>
      <c r="F603" s="7" t="s">
        <v>732</v>
      </c>
      <c r="G603" s="7" t="s">
        <v>793</v>
      </c>
      <c r="H603" s="7" t="s">
        <v>881</v>
      </c>
      <c r="I603" s="7" t="s">
        <v>904</v>
      </c>
      <c r="J603" s="7">
        <f t="shared" si="99"/>
        <v>4</v>
      </c>
      <c r="K603" s="9">
        <f t="shared" si="100"/>
        <v>18000</v>
      </c>
      <c r="L603" s="7">
        <v>3</v>
      </c>
      <c r="M603" s="9">
        <f t="shared" si="101"/>
        <v>54000</v>
      </c>
      <c r="N603" s="9">
        <f t="shared" si="102"/>
        <v>27000</v>
      </c>
      <c r="O603" s="7" t="s">
        <v>1006</v>
      </c>
      <c r="P603" s="10">
        <f t="shared" si="103"/>
        <v>0.05</v>
      </c>
      <c r="Q603" s="9">
        <f t="shared" si="104"/>
        <v>2700</v>
      </c>
      <c r="R603" s="9">
        <f t="shared" si="105"/>
        <v>51300</v>
      </c>
      <c r="S603" s="9" t="str">
        <f t="shared" si="106"/>
        <v>Profit</v>
      </c>
      <c r="T603" s="7" t="str">
        <f t="shared" si="107"/>
        <v>Jul</v>
      </c>
      <c r="U603" s="7">
        <f t="shared" si="108"/>
        <v>2025</v>
      </c>
      <c r="V603" s="7" t="str">
        <f t="shared" si="109"/>
        <v>50-55</v>
      </c>
    </row>
    <row r="604" spans="1:22" x14ac:dyDescent="0.3">
      <c r="A604" s="7" t="s">
        <v>621</v>
      </c>
      <c r="B604" s="8" t="s">
        <v>1625</v>
      </c>
      <c r="C604" s="8">
        <v>59</v>
      </c>
      <c r="D604" s="8" t="s">
        <v>720</v>
      </c>
      <c r="E604" s="8" t="s">
        <v>723</v>
      </c>
      <c r="F604" s="7" t="s">
        <v>731</v>
      </c>
      <c r="G604" s="7" t="s">
        <v>787</v>
      </c>
      <c r="H604" s="7" t="s">
        <v>793</v>
      </c>
      <c r="I604" s="7" t="s">
        <v>984</v>
      </c>
      <c r="J604" s="7">
        <f t="shared" si="99"/>
        <v>7</v>
      </c>
      <c r="K604" s="9">
        <f t="shared" si="100"/>
        <v>70000</v>
      </c>
      <c r="L604" s="7">
        <v>1</v>
      </c>
      <c r="M604" s="9">
        <f t="shared" si="101"/>
        <v>70000</v>
      </c>
      <c r="N604" s="9">
        <f t="shared" si="102"/>
        <v>42000</v>
      </c>
      <c r="O604" s="7" t="s">
        <v>1007</v>
      </c>
      <c r="P604" s="10">
        <f t="shared" si="103"/>
        <v>0</v>
      </c>
      <c r="Q604" s="9">
        <f t="shared" si="104"/>
        <v>0</v>
      </c>
      <c r="R604" s="9">
        <f t="shared" si="105"/>
        <v>5000</v>
      </c>
      <c r="S604" s="9" t="str">
        <f t="shared" si="106"/>
        <v>Loss</v>
      </c>
      <c r="T604" s="7" t="str">
        <f t="shared" si="107"/>
        <v>Jul</v>
      </c>
      <c r="U604" s="7">
        <f t="shared" si="108"/>
        <v>2025</v>
      </c>
      <c r="V604" s="7" t="str">
        <f t="shared" si="109"/>
        <v>55-60</v>
      </c>
    </row>
    <row r="605" spans="1:22" x14ac:dyDescent="0.3">
      <c r="A605" s="7" t="s">
        <v>622</v>
      </c>
      <c r="B605" s="8" t="s">
        <v>1626</v>
      </c>
      <c r="C605" s="8">
        <v>48</v>
      </c>
      <c r="D605" s="8" t="s">
        <v>720</v>
      </c>
      <c r="E605" s="8" t="s">
        <v>722</v>
      </c>
      <c r="F605" s="7" t="s">
        <v>729</v>
      </c>
      <c r="G605" s="7" t="s">
        <v>772</v>
      </c>
      <c r="H605" s="7" t="s">
        <v>971</v>
      </c>
      <c r="I605" s="7" t="s">
        <v>993</v>
      </c>
      <c r="J605" s="7">
        <f t="shared" si="99"/>
        <v>5</v>
      </c>
      <c r="K605" s="9">
        <f t="shared" si="100"/>
        <v>60000</v>
      </c>
      <c r="L605" s="7">
        <v>2</v>
      </c>
      <c r="M605" s="9">
        <f t="shared" si="101"/>
        <v>120000</v>
      </c>
      <c r="N605" s="9">
        <f t="shared" si="102"/>
        <v>78000</v>
      </c>
      <c r="O605" s="7" t="s">
        <v>1007</v>
      </c>
      <c r="P605" s="10">
        <f t="shared" si="103"/>
        <v>0</v>
      </c>
      <c r="Q605" s="9">
        <f t="shared" si="104"/>
        <v>0</v>
      </c>
      <c r="R605" s="9">
        <f t="shared" si="105"/>
        <v>5000</v>
      </c>
      <c r="S605" s="9" t="str">
        <f t="shared" si="106"/>
        <v>Loss</v>
      </c>
      <c r="T605" s="7" t="str">
        <f t="shared" si="107"/>
        <v>Aug</v>
      </c>
      <c r="U605" s="7">
        <f t="shared" si="108"/>
        <v>2025</v>
      </c>
      <c r="V605" s="7" t="str">
        <f t="shared" si="109"/>
        <v>45-50</v>
      </c>
    </row>
    <row r="606" spans="1:22" x14ac:dyDescent="0.3">
      <c r="A606" s="7" t="s">
        <v>623</v>
      </c>
      <c r="B606" s="8" t="s">
        <v>1627</v>
      </c>
      <c r="C606" s="8">
        <v>32</v>
      </c>
      <c r="D606" s="8" t="s">
        <v>721</v>
      </c>
      <c r="E606" s="8" t="s">
        <v>723</v>
      </c>
      <c r="F606" s="7" t="s">
        <v>1730</v>
      </c>
      <c r="G606" s="7" t="s">
        <v>952</v>
      </c>
      <c r="H606" s="7" t="s">
        <v>843</v>
      </c>
      <c r="I606" s="7" t="s">
        <v>812</v>
      </c>
      <c r="J606" s="7">
        <f t="shared" si="99"/>
        <v>7</v>
      </c>
      <c r="K606" s="9">
        <f t="shared" si="100"/>
        <v>70000</v>
      </c>
      <c r="L606" s="7">
        <v>4</v>
      </c>
      <c r="M606" s="9">
        <f t="shared" si="101"/>
        <v>280000</v>
      </c>
      <c r="N606" s="9">
        <f t="shared" si="102"/>
        <v>168000</v>
      </c>
      <c r="O606" s="7" t="s">
        <v>1007</v>
      </c>
      <c r="P606" s="10">
        <f t="shared" si="103"/>
        <v>0</v>
      </c>
      <c r="Q606" s="9">
        <f t="shared" si="104"/>
        <v>0</v>
      </c>
      <c r="R606" s="9">
        <f t="shared" si="105"/>
        <v>5000</v>
      </c>
      <c r="S606" s="9" t="str">
        <f t="shared" si="106"/>
        <v>Loss</v>
      </c>
      <c r="T606" s="7" t="str">
        <f t="shared" si="107"/>
        <v>Jun</v>
      </c>
      <c r="U606" s="7">
        <f t="shared" si="108"/>
        <v>2025</v>
      </c>
      <c r="V606" s="7" t="str">
        <f t="shared" si="109"/>
        <v>30-35</v>
      </c>
    </row>
    <row r="607" spans="1:22" x14ac:dyDescent="0.3">
      <c r="A607" s="7" t="s">
        <v>624</v>
      </c>
      <c r="B607" s="8" t="s">
        <v>1628</v>
      </c>
      <c r="C607" s="8">
        <v>25</v>
      </c>
      <c r="D607" s="8" t="s">
        <v>721</v>
      </c>
      <c r="E607" s="8" t="s">
        <v>725</v>
      </c>
      <c r="F607" s="7" t="s">
        <v>728</v>
      </c>
      <c r="G607" s="7" t="s">
        <v>782</v>
      </c>
      <c r="H607" s="7" t="s">
        <v>869</v>
      </c>
      <c r="I607" s="7" t="s">
        <v>752</v>
      </c>
      <c r="J607" s="7">
        <f t="shared" si="99"/>
        <v>8</v>
      </c>
      <c r="K607" s="9">
        <f t="shared" si="100"/>
        <v>80000</v>
      </c>
      <c r="L607" s="7">
        <v>2</v>
      </c>
      <c r="M607" s="9">
        <f t="shared" si="101"/>
        <v>160000</v>
      </c>
      <c r="N607" s="9">
        <f t="shared" si="102"/>
        <v>96000</v>
      </c>
      <c r="O607" s="7" t="s">
        <v>1007</v>
      </c>
      <c r="P607" s="10">
        <f t="shared" si="103"/>
        <v>0</v>
      </c>
      <c r="Q607" s="9">
        <f t="shared" si="104"/>
        <v>0</v>
      </c>
      <c r="R607" s="9">
        <f t="shared" si="105"/>
        <v>5000</v>
      </c>
      <c r="S607" s="9" t="str">
        <f t="shared" si="106"/>
        <v>Loss</v>
      </c>
      <c r="T607" s="7" t="str">
        <f t="shared" si="107"/>
        <v>May</v>
      </c>
      <c r="U607" s="7">
        <f t="shared" si="108"/>
        <v>2025</v>
      </c>
      <c r="V607" s="7" t="str">
        <f t="shared" si="109"/>
        <v>25-30</v>
      </c>
    </row>
    <row r="608" spans="1:22" x14ac:dyDescent="0.3">
      <c r="A608" s="7" t="s">
        <v>625</v>
      </c>
      <c r="B608" s="8" t="s">
        <v>1629</v>
      </c>
      <c r="C608" s="8">
        <v>30</v>
      </c>
      <c r="D608" s="8" t="s">
        <v>721</v>
      </c>
      <c r="E608" s="8" t="s">
        <v>722</v>
      </c>
      <c r="F608" s="7" t="s">
        <v>735</v>
      </c>
      <c r="G608" s="7" t="s">
        <v>881</v>
      </c>
      <c r="H608" s="7" t="s">
        <v>866</v>
      </c>
      <c r="I608" s="7" t="s">
        <v>969</v>
      </c>
      <c r="J608" s="7">
        <f t="shared" si="99"/>
        <v>5</v>
      </c>
      <c r="K608" s="9">
        <f t="shared" si="100"/>
        <v>60000</v>
      </c>
      <c r="L608" s="7">
        <v>2</v>
      </c>
      <c r="M608" s="9">
        <f t="shared" si="101"/>
        <v>120000</v>
      </c>
      <c r="N608" s="9">
        <f t="shared" si="102"/>
        <v>78000</v>
      </c>
      <c r="O608" s="7" t="s">
        <v>1007</v>
      </c>
      <c r="P608" s="10">
        <f t="shared" si="103"/>
        <v>0</v>
      </c>
      <c r="Q608" s="9">
        <f t="shared" si="104"/>
        <v>0</v>
      </c>
      <c r="R608" s="9">
        <f t="shared" si="105"/>
        <v>5000</v>
      </c>
      <c r="S608" s="9" t="str">
        <f t="shared" si="106"/>
        <v>Loss</v>
      </c>
      <c r="T608" s="7" t="str">
        <f t="shared" si="107"/>
        <v>Jul</v>
      </c>
      <c r="U608" s="7">
        <f t="shared" si="108"/>
        <v>2025</v>
      </c>
      <c r="V608" s="7" t="str">
        <f t="shared" si="109"/>
        <v>30-35</v>
      </c>
    </row>
    <row r="609" spans="1:22" x14ac:dyDescent="0.3">
      <c r="A609" s="7" t="s">
        <v>626</v>
      </c>
      <c r="B609" s="8" t="s">
        <v>1630</v>
      </c>
      <c r="C609" s="8">
        <v>35</v>
      </c>
      <c r="D609" s="8" t="s">
        <v>720</v>
      </c>
      <c r="E609" s="8" t="s">
        <v>722</v>
      </c>
      <c r="F609" s="7" t="s">
        <v>1730</v>
      </c>
      <c r="G609" s="7" t="s">
        <v>825</v>
      </c>
      <c r="H609" s="7" t="s">
        <v>868</v>
      </c>
      <c r="I609" s="7" t="s">
        <v>845</v>
      </c>
      <c r="J609" s="7">
        <f t="shared" si="99"/>
        <v>5</v>
      </c>
      <c r="K609" s="9">
        <f t="shared" si="100"/>
        <v>60000</v>
      </c>
      <c r="L609" s="7">
        <v>4</v>
      </c>
      <c r="M609" s="9">
        <f t="shared" si="101"/>
        <v>240000</v>
      </c>
      <c r="N609" s="9">
        <f t="shared" si="102"/>
        <v>156000</v>
      </c>
      <c r="O609" s="7" t="s">
        <v>1007</v>
      </c>
      <c r="P609" s="10">
        <f t="shared" si="103"/>
        <v>0</v>
      </c>
      <c r="Q609" s="9">
        <f t="shared" si="104"/>
        <v>0</v>
      </c>
      <c r="R609" s="9">
        <f t="shared" si="105"/>
        <v>5000</v>
      </c>
      <c r="S609" s="9" t="str">
        <f t="shared" si="106"/>
        <v>Loss</v>
      </c>
      <c r="T609" s="7" t="str">
        <f t="shared" si="107"/>
        <v>Mar</v>
      </c>
      <c r="U609" s="7">
        <f t="shared" si="108"/>
        <v>2025</v>
      </c>
      <c r="V609" s="7" t="str">
        <f t="shared" si="109"/>
        <v>35-40</v>
      </c>
    </row>
    <row r="610" spans="1:22" x14ac:dyDescent="0.3">
      <c r="A610" s="7" t="s">
        <v>627</v>
      </c>
      <c r="B610" s="8" t="s">
        <v>1631</v>
      </c>
      <c r="C610" s="8">
        <v>28</v>
      </c>
      <c r="D610" s="8" t="s">
        <v>720</v>
      </c>
      <c r="E610" s="8" t="s">
        <v>722</v>
      </c>
      <c r="F610" s="7" t="s">
        <v>728</v>
      </c>
      <c r="G610" s="7" t="s">
        <v>812</v>
      </c>
      <c r="H610" s="7" t="s">
        <v>939</v>
      </c>
      <c r="I610" s="7" t="s">
        <v>836</v>
      </c>
      <c r="J610" s="7">
        <f t="shared" si="99"/>
        <v>5</v>
      </c>
      <c r="K610" s="9">
        <f t="shared" si="100"/>
        <v>60000</v>
      </c>
      <c r="L610" s="7">
        <v>3</v>
      </c>
      <c r="M610" s="9">
        <f t="shared" si="101"/>
        <v>180000</v>
      </c>
      <c r="N610" s="9">
        <f t="shared" si="102"/>
        <v>117000</v>
      </c>
      <c r="O610" s="7" t="s">
        <v>1007</v>
      </c>
      <c r="P610" s="10">
        <f t="shared" si="103"/>
        <v>0</v>
      </c>
      <c r="Q610" s="9">
        <f t="shared" si="104"/>
        <v>0</v>
      </c>
      <c r="R610" s="9">
        <f t="shared" si="105"/>
        <v>5000</v>
      </c>
      <c r="S610" s="9" t="str">
        <f t="shared" si="106"/>
        <v>Loss</v>
      </c>
      <c r="T610" s="7" t="str">
        <f t="shared" si="107"/>
        <v>Jul</v>
      </c>
      <c r="U610" s="7">
        <f t="shared" si="108"/>
        <v>2025</v>
      </c>
      <c r="V610" s="7" t="str">
        <f t="shared" si="109"/>
        <v>25-30</v>
      </c>
    </row>
    <row r="611" spans="1:22" x14ac:dyDescent="0.3">
      <c r="A611" s="7" t="s">
        <v>628</v>
      </c>
      <c r="B611" s="8" t="s">
        <v>1632</v>
      </c>
      <c r="C611" s="8">
        <v>32</v>
      </c>
      <c r="D611" s="8" t="s">
        <v>720</v>
      </c>
      <c r="E611" s="8" t="s">
        <v>725</v>
      </c>
      <c r="F611" s="7" t="s">
        <v>734</v>
      </c>
      <c r="G611" s="7" t="s">
        <v>846</v>
      </c>
      <c r="H611" s="7" t="s">
        <v>879</v>
      </c>
      <c r="I611" s="7" t="s">
        <v>990</v>
      </c>
      <c r="J611" s="7">
        <f t="shared" si="99"/>
        <v>8</v>
      </c>
      <c r="K611" s="9">
        <f t="shared" si="100"/>
        <v>80000</v>
      </c>
      <c r="L611" s="7">
        <v>2</v>
      </c>
      <c r="M611" s="9">
        <f t="shared" si="101"/>
        <v>160000</v>
      </c>
      <c r="N611" s="9">
        <f t="shared" si="102"/>
        <v>96000</v>
      </c>
      <c r="O611" s="7" t="s">
        <v>1006</v>
      </c>
      <c r="P611" s="10">
        <f t="shared" si="103"/>
        <v>0.12</v>
      </c>
      <c r="Q611" s="9">
        <f t="shared" si="104"/>
        <v>19200</v>
      </c>
      <c r="R611" s="9">
        <f t="shared" si="105"/>
        <v>140800</v>
      </c>
      <c r="S611" s="9" t="str">
        <f t="shared" si="106"/>
        <v>Profit</v>
      </c>
      <c r="T611" s="7" t="str">
        <f t="shared" si="107"/>
        <v>Apr</v>
      </c>
      <c r="U611" s="7">
        <f t="shared" si="108"/>
        <v>2025</v>
      </c>
      <c r="V611" s="7" t="str">
        <f t="shared" si="109"/>
        <v>30-35</v>
      </c>
    </row>
    <row r="612" spans="1:22" x14ac:dyDescent="0.3">
      <c r="A612" s="7" t="s">
        <v>629</v>
      </c>
      <c r="B612" s="8" t="s">
        <v>1633</v>
      </c>
      <c r="C612" s="8">
        <v>45</v>
      </c>
      <c r="D612" s="8" t="s">
        <v>721</v>
      </c>
      <c r="E612" s="8" t="s">
        <v>726</v>
      </c>
      <c r="F612" s="7" t="s">
        <v>1729</v>
      </c>
      <c r="G612" s="7" t="s">
        <v>750</v>
      </c>
      <c r="H612" s="7" t="s">
        <v>765</v>
      </c>
      <c r="I612" s="7" t="s">
        <v>962</v>
      </c>
      <c r="J612" s="7">
        <f t="shared" si="99"/>
        <v>4</v>
      </c>
      <c r="K612" s="9">
        <f t="shared" si="100"/>
        <v>18000</v>
      </c>
      <c r="L612" s="7">
        <v>1</v>
      </c>
      <c r="M612" s="9">
        <f t="shared" si="101"/>
        <v>18000</v>
      </c>
      <c r="N612" s="9">
        <f t="shared" si="102"/>
        <v>9000</v>
      </c>
      <c r="O612" s="7" t="s">
        <v>1007</v>
      </c>
      <c r="P612" s="10">
        <f t="shared" si="103"/>
        <v>0</v>
      </c>
      <c r="Q612" s="9">
        <f t="shared" si="104"/>
        <v>0</v>
      </c>
      <c r="R612" s="9">
        <f t="shared" si="105"/>
        <v>5000</v>
      </c>
      <c r="S612" s="9" t="str">
        <f t="shared" si="106"/>
        <v>Loss</v>
      </c>
      <c r="T612" s="7" t="str">
        <f t="shared" si="107"/>
        <v>May</v>
      </c>
      <c r="U612" s="7">
        <f t="shared" si="108"/>
        <v>2025</v>
      </c>
      <c r="V612" s="7" t="str">
        <f t="shared" si="109"/>
        <v>45-50</v>
      </c>
    </row>
    <row r="613" spans="1:22" x14ac:dyDescent="0.3">
      <c r="A613" s="7" t="s">
        <v>630</v>
      </c>
      <c r="B613" s="8" t="s">
        <v>1634</v>
      </c>
      <c r="C613" s="8">
        <v>28</v>
      </c>
      <c r="D613" s="8" t="s">
        <v>720</v>
      </c>
      <c r="E613" s="8" t="s">
        <v>722</v>
      </c>
      <c r="F613" s="7" t="s">
        <v>733</v>
      </c>
      <c r="G613" s="7" t="s">
        <v>742</v>
      </c>
      <c r="H613" s="7" t="s">
        <v>750</v>
      </c>
      <c r="I613" s="7" t="s">
        <v>911</v>
      </c>
      <c r="J613" s="7">
        <f t="shared" si="99"/>
        <v>5</v>
      </c>
      <c r="K613" s="9">
        <f t="shared" si="100"/>
        <v>60000</v>
      </c>
      <c r="L613" s="7">
        <v>2</v>
      </c>
      <c r="M613" s="9">
        <f t="shared" si="101"/>
        <v>120000</v>
      </c>
      <c r="N613" s="9">
        <f t="shared" si="102"/>
        <v>78000</v>
      </c>
      <c r="O613" s="7" t="s">
        <v>1006</v>
      </c>
      <c r="P613" s="10">
        <f t="shared" si="103"/>
        <v>0.1</v>
      </c>
      <c r="Q613" s="9">
        <f t="shared" si="104"/>
        <v>12000</v>
      </c>
      <c r="R613" s="9">
        <f t="shared" si="105"/>
        <v>108000</v>
      </c>
      <c r="S613" s="9" t="str">
        <f t="shared" si="106"/>
        <v>Profit</v>
      </c>
      <c r="T613" s="7" t="str">
        <f t="shared" si="107"/>
        <v>May</v>
      </c>
      <c r="U613" s="7">
        <f t="shared" si="108"/>
        <v>2025</v>
      </c>
      <c r="V613" s="7" t="str">
        <f t="shared" si="109"/>
        <v>25-30</v>
      </c>
    </row>
    <row r="614" spans="1:22" x14ac:dyDescent="0.3">
      <c r="A614" s="7" t="s">
        <v>631</v>
      </c>
      <c r="B614" s="8" t="s">
        <v>1635</v>
      </c>
      <c r="C614" s="8">
        <v>30</v>
      </c>
      <c r="D614" s="8" t="s">
        <v>720</v>
      </c>
      <c r="E614" s="8" t="s">
        <v>725</v>
      </c>
      <c r="F614" s="7" t="s">
        <v>730</v>
      </c>
      <c r="G614" s="7" t="s">
        <v>890</v>
      </c>
      <c r="H614" s="7" t="s">
        <v>738</v>
      </c>
      <c r="I614" s="7" t="s">
        <v>820</v>
      </c>
      <c r="J614" s="7">
        <f t="shared" si="99"/>
        <v>8</v>
      </c>
      <c r="K614" s="9">
        <f t="shared" si="100"/>
        <v>80000</v>
      </c>
      <c r="L614" s="7">
        <v>2</v>
      </c>
      <c r="M614" s="9">
        <f t="shared" si="101"/>
        <v>160000</v>
      </c>
      <c r="N614" s="9">
        <f t="shared" si="102"/>
        <v>96000</v>
      </c>
      <c r="O614" s="7" t="s">
        <v>1006</v>
      </c>
      <c r="P614" s="10">
        <f t="shared" si="103"/>
        <v>0.12</v>
      </c>
      <c r="Q614" s="9">
        <f t="shared" si="104"/>
        <v>19200</v>
      </c>
      <c r="R614" s="9">
        <f t="shared" si="105"/>
        <v>140800</v>
      </c>
      <c r="S614" s="9" t="str">
        <f t="shared" si="106"/>
        <v>Profit</v>
      </c>
      <c r="T614" s="7" t="str">
        <f t="shared" si="107"/>
        <v>May</v>
      </c>
      <c r="U614" s="7">
        <f t="shared" si="108"/>
        <v>2025</v>
      </c>
      <c r="V614" s="7" t="str">
        <f t="shared" si="109"/>
        <v>30-35</v>
      </c>
    </row>
    <row r="615" spans="1:22" x14ac:dyDescent="0.3">
      <c r="A615" s="7" t="s">
        <v>632</v>
      </c>
      <c r="B615" s="8" t="s">
        <v>1636</v>
      </c>
      <c r="C615" s="8">
        <v>25</v>
      </c>
      <c r="D615" s="8" t="s">
        <v>721</v>
      </c>
      <c r="E615" s="8" t="s">
        <v>726</v>
      </c>
      <c r="F615" s="7" t="s">
        <v>1733</v>
      </c>
      <c r="G615" s="7" t="s">
        <v>888</v>
      </c>
      <c r="H615" s="7" t="s">
        <v>858</v>
      </c>
      <c r="I615" s="7" t="s">
        <v>854</v>
      </c>
      <c r="J615" s="7">
        <f t="shared" si="99"/>
        <v>4</v>
      </c>
      <c r="K615" s="9">
        <f t="shared" si="100"/>
        <v>18000</v>
      </c>
      <c r="L615" s="7">
        <v>3</v>
      </c>
      <c r="M615" s="9">
        <f t="shared" si="101"/>
        <v>54000</v>
      </c>
      <c r="N615" s="9">
        <f t="shared" si="102"/>
        <v>27000</v>
      </c>
      <c r="O615" s="7" t="s">
        <v>1006</v>
      </c>
      <c r="P615" s="10">
        <f t="shared" si="103"/>
        <v>0.05</v>
      </c>
      <c r="Q615" s="9">
        <f t="shared" si="104"/>
        <v>2700</v>
      </c>
      <c r="R615" s="9">
        <f t="shared" si="105"/>
        <v>51300</v>
      </c>
      <c r="S615" s="9" t="str">
        <f t="shared" si="106"/>
        <v>Profit</v>
      </c>
      <c r="T615" s="7" t="str">
        <f t="shared" si="107"/>
        <v>Mar</v>
      </c>
      <c r="U615" s="7">
        <f t="shared" si="108"/>
        <v>2025</v>
      </c>
      <c r="V615" s="7" t="str">
        <f t="shared" si="109"/>
        <v>25-30</v>
      </c>
    </row>
    <row r="616" spans="1:22" x14ac:dyDescent="0.3">
      <c r="A616" s="7" t="s">
        <v>633</v>
      </c>
      <c r="B616" s="8" t="s">
        <v>1637</v>
      </c>
      <c r="C616" s="8">
        <v>25</v>
      </c>
      <c r="D616" s="8" t="s">
        <v>721</v>
      </c>
      <c r="E616" s="8" t="s">
        <v>725</v>
      </c>
      <c r="F616" s="7" t="s">
        <v>733</v>
      </c>
      <c r="G616" s="7" t="s">
        <v>763</v>
      </c>
      <c r="H616" s="7" t="s">
        <v>957</v>
      </c>
      <c r="I616" s="7" t="s">
        <v>856</v>
      </c>
      <c r="J616" s="7">
        <f t="shared" si="99"/>
        <v>8</v>
      </c>
      <c r="K616" s="9">
        <f t="shared" si="100"/>
        <v>80000</v>
      </c>
      <c r="L616" s="7">
        <v>2</v>
      </c>
      <c r="M616" s="9">
        <f t="shared" si="101"/>
        <v>160000</v>
      </c>
      <c r="N616" s="9">
        <f t="shared" si="102"/>
        <v>96000</v>
      </c>
      <c r="O616" s="7" t="s">
        <v>1006</v>
      </c>
      <c r="P616" s="10">
        <f t="shared" si="103"/>
        <v>0.12</v>
      </c>
      <c r="Q616" s="9">
        <f t="shared" si="104"/>
        <v>19200</v>
      </c>
      <c r="R616" s="9">
        <f t="shared" si="105"/>
        <v>140800</v>
      </c>
      <c r="S616" s="9" t="str">
        <f t="shared" si="106"/>
        <v>Profit</v>
      </c>
      <c r="T616" s="7" t="str">
        <f t="shared" si="107"/>
        <v>Feb</v>
      </c>
      <c r="U616" s="7">
        <f t="shared" si="108"/>
        <v>2025</v>
      </c>
      <c r="V616" s="7" t="str">
        <f t="shared" si="109"/>
        <v>25-30</v>
      </c>
    </row>
    <row r="617" spans="1:22" x14ac:dyDescent="0.3">
      <c r="A617" s="7" t="s">
        <v>634</v>
      </c>
      <c r="B617" s="8" t="s">
        <v>1638</v>
      </c>
      <c r="C617" s="8">
        <v>35</v>
      </c>
      <c r="D617" s="8" t="s">
        <v>720</v>
      </c>
      <c r="E617" s="8" t="s">
        <v>726</v>
      </c>
      <c r="F617" s="7" t="s">
        <v>1727</v>
      </c>
      <c r="G617" s="7" t="s">
        <v>744</v>
      </c>
      <c r="H617" s="7" t="s">
        <v>802</v>
      </c>
      <c r="I617" s="7" t="s">
        <v>861</v>
      </c>
      <c r="J617" s="7">
        <f t="shared" si="99"/>
        <v>4</v>
      </c>
      <c r="K617" s="9">
        <f t="shared" si="100"/>
        <v>18000</v>
      </c>
      <c r="L617" s="7">
        <v>4</v>
      </c>
      <c r="M617" s="9">
        <f t="shared" si="101"/>
        <v>72000</v>
      </c>
      <c r="N617" s="9">
        <f t="shared" si="102"/>
        <v>36000</v>
      </c>
      <c r="O617" s="7" t="s">
        <v>1006</v>
      </c>
      <c r="P617" s="10">
        <f t="shared" si="103"/>
        <v>0.05</v>
      </c>
      <c r="Q617" s="9">
        <f t="shared" si="104"/>
        <v>3600</v>
      </c>
      <c r="R617" s="9">
        <f t="shared" si="105"/>
        <v>68400</v>
      </c>
      <c r="S617" s="9" t="str">
        <f t="shared" si="106"/>
        <v>Profit</v>
      </c>
      <c r="T617" s="7" t="str">
        <f t="shared" si="107"/>
        <v>Jan</v>
      </c>
      <c r="U617" s="7">
        <f t="shared" si="108"/>
        <v>2025</v>
      </c>
      <c r="V617" s="7" t="str">
        <f t="shared" si="109"/>
        <v>35-40</v>
      </c>
    </row>
    <row r="618" spans="1:22" x14ac:dyDescent="0.3">
      <c r="A618" s="7" t="s">
        <v>635</v>
      </c>
      <c r="B618" s="8" t="s">
        <v>1639</v>
      </c>
      <c r="C618" s="8">
        <v>28</v>
      </c>
      <c r="D618" s="8" t="s">
        <v>720</v>
      </c>
      <c r="E618" s="8" t="s">
        <v>724</v>
      </c>
      <c r="F618" s="7" t="s">
        <v>735</v>
      </c>
      <c r="G618" s="7" t="s">
        <v>953</v>
      </c>
      <c r="H618" s="7" t="s">
        <v>748</v>
      </c>
      <c r="I618" s="7" t="s">
        <v>903</v>
      </c>
      <c r="J618" s="7">
        <f t="shared" si="99"/>
        <v>10</v>
      </c>
      <c r="K618" s="9">
        <f t="shared" si="100"/>
        <v>120000</v>
      </c>
      <c r="L618" s="7">
        <v>1</v>
      </c>
      <c r="M618" s="9">
        <f t="shared" si="101"/>
        <v>120000</v>
      </c>
      <c r="N618" s="9">
        <f t="shared" si="102"/>
        <v>78000</v>
      </c>
      <c r="O618" s="7" t="s">
        <v>1007</v>
      </c>
      <c r="P618" s="10">
        <f t="shared" si="103"/>
        <v>0</v>
      </c>
      <c r="Q618" s="9">
        <f t="shared" si="104"/>
        <v>0</v>
      </c>
      <c r="R618" s="9">
        <f t="shared" si="105"/>
        <v>5000</v>
      </c>
      <c r="S618" s="9" t="str">
        <f t="shared" si="106"/>
        <v>Loss</v>
      </c>
      <c r="T618" s="7" t="str">
        <f t="shared" si="107"/>
        <v>Apr</v>
      </c>
      <c r="U618" s="7">
        <f t="shared" si="108"/>
        <v>2025</v>
      </c>
      <c r="V618" s="7" t="str">
        <f t="shared" si="109"/>
        <v>25-30</v>
      </c>
    </row>
    <row r="619" spans="1:22" x14ac:dyDescent="0.3">
      <c r="A619" s="7" t="s">
        <v>636</v>
      </c>
      <c r="B619" s="8" t="s">
        <v>1640</v>
      </c>
      <c r="C619" s="8">
        <v>27</v>
      </c>
      <c r="D619" s="8" t="s">
        <v>721</v>
      </c>
      <c r="E619" s="8" t="s">
        <v>722</v>
      </c>
      <c r="F619" s="7" t="s">
        <v>734</v>
      </c>
      <c r="G619" s="7" t="s">
        <v>913</v>
      </c>
      <c r="H619" s="7" t="s">
        <v>917</v>
      </c>
      <c r="I619" s="7" t="s">
        <v>864</v>
      </c>
      <c r="J619" s="7">
        <f t="shared" si="99"/>
        <v>5</v>
      </c>
      <c r="K619" s="9">
        <f t="shared" si="100"/>
        <v>60000</v>
      </c>
      <c r="L619" s="7">
        <v>1</v>
      </c>
      <c r="M619" s="9">
        <f t="shared" si="101"/>
        <v>60000</v>
      </c>
      <c r="N619" s="9">
        <f t="shared" si="102"/>
        <v>39000</v>
      </c>
      <c r="O619" s="7" t="s">
        <v>1007</v>
      </c>
      <c r="P619" s="10">
        <f t="shared" si="103"/>
        <v>0</v>
      </c>
      <c r="Q619" s="9">
        <f t="shared" si="104"/>
        <v>0</v>
      </c>
      <c r="R619" s="9">
        <f t="shared" si="105"/>
        <v>5000</v>
      </c>
      <c r="S619" s="9" t="str">
        <f t="shared" si="106"/>
        <v>Loss</v>
      </c>
      <c r="T619" s="7" t="str">
        <f t="shared" si="107"/>
        <v>Jul</v>
      </c>
      <c r="U619" s="7">
        <f t="shared" si="108"/>
        <v>2025</v>
      </c>
      <c r="V619" s="7" t="str">
        <f t="shared" si="109"/>
        <v>25-30</v>
      </c>
    </row>
    <row r="620" spans="1:22" x14ac:dyDescent="0.3">
      <c r="A620" s="7" t="s">
        <v>637</v>
      </c>
      <c r="B620" s="8" t="s">
        <v>1641</v>
      </c>
      <c r="C620" s="8">
        <v>25</v>
      </c>
      <c r="D620" s="8" t="s">
        <v>720</v>
      </c>
      <c r="E620" s="8" t="s">
        <v>726</v>
      </c>
      <c r="F620" s="7" t="s">
        <v>1728</v>
      </c>
      <c r="G620" s="7" t="s">
        <v>848</v>
      </c>
      <c r="H620" s="7" t="s">
        <v>778</v>
      </c>
      <c r="I620" s="7" t="s">
        <v>766</v>
      </c>
      <c r="J620" s="7">
        <f t="shared" si="99"/>
        <v>4</v>
      </c>
      <c r="K620" s="9">
        <f t="shared" si="100"/>
        <v>18000</v>
      </c>
      <c r="L620" s="7">
        <v>3</v>
      </c>
      <c r="M620" s="9">
        <f t="shared" si="101"/>
        <v>54000</v>
      </c>
      <c r="N620" s="9">
        <f t="shared" si="102"/>
        <v>27000</v>
      </c>
      <c r="O620" s="7" t="s">
        <v>1006</v>
      </c>
      <c r="P620" s="10">
        <f t="shared" si="103"/>
        <v>0.05</v>
      </c>
      <c r="Q620" s="9">
        <f t="shared" si="104"/>
        <v>2700</v>
      </c>
      <c r="R620" s="9">
        <f t="shared" si="105"/>
        <v>51300</v>
      </c>
      <c r="S620" s="9" t="str">
        <f t="shared" si="106"/>
        <v>Profit</v>
      </c>
      <c r="T620" s="7" t="str">
        <f t="shared" si="107"/>
        <v>Mar</v>
      </c>
      <c r="U620" s="7">
        <f t="shared" si="108"/>
        <v>2025</v>
      </c>
      <c r="V620" s="7" t="str">
        <f t="shared" si="109"/>
        <v>25-30</v>
      </c>
    </row>
    <row r="621" spans="1:22" x14ac:dyDescent="0.3">
      <c r="A621" s="7" t="s">
        <v>638</v>
      </c>
      <c r="B621" s="8" t="s">
        <v>1642</v>
      </c>
      <c r="C621" s="8">
        <v>41</v>
      </c>
      <c r="D621" s="8" t="s">
        <v>721</v>
      </c>
      <c r="E621" s="8" t="s">
        <v>724</v>
      </c>
      <c r="F621" s="7" t="s">
        <v>729</v>
      </c>
      <c r="G621" s="7" t="s">
        <v>772</v>
      </c>
      <c r="H621" s="7" t="s">
        <v>968</v>
      </c>
      <c r="I621" s="7" t="s">
        <v>1003</v>
      </c>
      <c r="J621" s="7">
        <f t="shared" si="99"/>
        <v>10</v>
      </c>
      <c r="K621" s="9">
        <f t="shared" si="100"/>
        <v>120000</v>
      </c>
      <c r="L621" s="7">
        <v>2</v>
      </c>
      <c r="M621" s="9">
        <f t="shared" si="101"/>
        <v>240000</v>
      </c>
      <c r="N621" s="9">
        <f t="shared" si="102"/>
        <v>156000</v>
      </c>
      <c r="O621" s="7" t="s">
        <v>1007</v>
      </c>
      <c r="P621" s="10">
        <f t="shared" si="103"/>
        <v>0</v>
      </c>
      <c r="Q621" s="9">
        <f t="shared" si="104"/>
        <v>0</v>
      </c>
      <c r="R621" s="9">
        <f t="shared" si="105"/>
        <v>5000</v>
      </c>
      <c r="S621" s="9" t="str">
        <f t="shared" si="106"/>
        <v>Loss</v>
      </c>
      <c r="T621" s="7" t="str">
        <f t="shared" si="107"/>
        <v>Aug</v>
      </c>
      <c r="U621" s="7">
        <f t="shared" si="108"/>
        <v>2025</v>
      </c>
      <c r="V621" s="7" t="str">
        <f t="shared" si="109"/>
        <v>40-45</v>
      </c>
    </row>
    <row r="622" spans="1:22" x14ac:dyDescent="0.3">
      <c r="A622" s="7" t="s">
        <v>639</v>
      </c>
      <c r="B622" s="8" t="s">
        <v>1643</v>
      </c>
      <c r="C622" s="8">
        <v>36</v>
      </c>
      <c r="D622" s="8" t="s">
        <v>720</v>
      </c>
      <c r="E622" s="8" t="s">
        <v>726</v>
      </c>
      <c r="F622" s="7" t="s">
        <v>731</v>
      </c>
      <c r="G622" s="7" t="s">
        <v>954</v>
      </c>
      <c r="H622" s="7" t="s">
        <v>929</v>
      </c>
      <c r="I622" s="7" t="s">
        <v>774</v>
      </c>
      <c r="J622" s="7">
        <f t="shared" si="99"/>
        <v>4</v>
      </c>
      <c r="K622" s="9">
        <f t="shared" si="100"/>
        <v>18000</v>
      </c>
      <c r="L622" s="7">
        <v>1</v>
      </c>
      <c r="M622" s="9">
        <f t="shared" si="101"/>
        <v>18000</v>
      </c>
      <c r="N622" s="9">
        <f t="shared" si="102"/>
        <v>9000</v>
      </c>
      <c r="O622" s="7" t="s">
        <v>1007</v>
      </c>
      <c r="P622" s="10">
        <f t="shared" si="103"/>
        <v>0</v>
      </c>
      <c r="Q622" s="9">
        <f t="shared" si="104"/>
        <v>0</v>
      </c>
      <c r="R622" s="9">
        <f t="shared" si="105"/>
        <v>5000</v>
      </c>
      <c r="S622" s="9" t="str">
        <f t="shared" si="106"/>
        <v>Loss</v>
      </c>
      <c r="T622" s="7" t="str">
        <f t="shared" si="107"/>
        <v>Aug</v>
      </c>
      <c r="U622" s="7">
        <f t="shared" si="108"/>
        <v>2025</v>
      </c>
      <c r="V622" s="7" t="str">
        <f t="shared" si="109"/>
        <v>35-40</v>
      </c>
    </row>
    <row r="623" spans="1:22" x14ac:dyDescent="0.3">
      <c r="A623" s="7" t="s">
        <v>640</v>
      </c>
      <c r="B623" s="8" t="s">
        <v>1644</v>
      </c>
      <c r="C623" s="8">
        <v>40</v>
      </c>
      <c r="D623" s="8" t="s">
        <v>721</v>
      </c>
      <c r="E623" s="8" t="s">
        <v>726</v>
      </c>
      <c r="F623" s="7" t="s">
        <v>1725</v>
      </c>
      <c r="G623" s="7" t="s">
        <v>760</v>
      </c>
      <c r="H623" s="7" t="s">
        <v>815</v>
      </c>
      <c r="I623" s="7" t="s">
        <v>768</v>
      </c>
      <c r="J623" s="7">
        <f t="shared" si="99"/>
        <v>4</v>
      </c>
      <c r="K623" s="9">
        <f t="shared" si="100"/>
        <v>18000</v>
      </c>
      <c r="L623" s="7">
        <v>3</v>
      </c>
      <c r="M623" s="9">
        <f t="shared" si="101"/>
        <v>54000</v>
      </c>
      <c r="N623" s="9">
        <f t="shared" si="102"/>
        <v>27000</v>
      </c>
      <c r="O623" s="7" t="s">
        <v>1007</v>
      </c>
      <c r="P623" s="10">
        <f t="shared" si="103"/>
        <v>0</v>
      </c>
      <c r="Q623" s="9">
        <f t="shared" si="104"/>
        <v>0</v>
      </c>
      <c r="R623" s="9">
        <f t="shared" si="105"/>
        <v>5000</v>
      </c>
      <c r="S623" s="9" t="str">
        <f t="shared" si="106"/>
        <v>Loss</v>
      </c>
      <c r="T623" s="7" t="str">
        <f t="shared" si="107"/>
        <v>Mar</v>
      </c>
      <c r="U623" s="7">
        <f t="shared" si="108"/>
        <v>2025</v>
      </c>
      <c r="V623" s="7" t="str">
        <f t="shared" si="109"/>
        <v>40-45</v>
      </c>
    </row>
    <row r="624" spans="1:22" x14ac:dyDescent="0.3">
      <c r="A624" s="7" t="s">
        <v>641</v>
      </c>
      <c r="B624" s="8" t="s">
        <v>1645</v>
      </c>
      <c r="C624" s="8">
        <v>19</v>
      </c>
      <c r="D624" s="8" t="s">
        <v>721</v>
      </c>
      <c r="E624" s="8" t="s">
        <v>726</v>
      </c>
      <c r="F624" s="7" t="s">
        <v>1727</v>
      </c>
      <c r="G624" s="7" t="s">
        <v>801</v>
      </c>
      <c r="H624" s="7" t="s">
        <v>750</v>
      </c>
      <c r="I624" s="7" t="s">
        <v>911</v>
      </c>
      <c r="J624" s="7">
        <f t="shared" si="99"/>
        <v>4</v>
      </c>
      <c r="K624" s="9">
        <f t="shared" si="100"/>
        <v>18000</v>
      </c>
      <c r="L624" s="7">
        <v>1</v>
      </c>
      <c r="M624" s="9">
        <f t="shared" si="101"/>
        <v>18000</v>
      </c>
      <c r="N624" s="9">
        <f t="shared" si="102"/>
        <v>9000</v>
      </c>
      <c r="O624" s="7" t="s">
        <v>1006</v>
      </c>
      <c r="P624" s="10">
        <f t="shared" si="103"/>
        <v>0.05</v>
      </c>
      <c r="Q624" s="9">
        <f t="shared" si="104"/>
        <v>900</v>
      </c>
      <c r="R624" s="9">
        <f t="shared" si="105"/>
        <v>17100</v>
      </c>
      <c r="S624" s="9" t="str">
        <f t="shared" si="106"/>
        <v>Profit</v>
      </c>
      <c r="T624" s="7" t="str">
        <f t="shared" si="107"/>
        <v>May</v>
      </c>
      <c r="U624" s="7">
        <f t="shared" si="108"/>
        <v>2025</v>
      </c>
      <c r="V624" s="7" t="str">
        <f t="shared" si="109"/>
        <v>15-20</v>
      </c>
    </row>
    <row r="625" spans="1:22" x14ac:dyDescent="0.3">
      <c r="A625" s="7" t="s">
        <v>642</v>
      </c>
      <c r="B625" s="8" t="s">
        <v>1646</v>
      </c>
      <c r="C625" s="8">
        <v>22</v>
      </c>
      <c r="D625" s="8" t="s">
        <v>721</v>
      </c>
      <c r="E625" s="8" t="s">
        <v>726</v>
      </c>
      <c r="F625" s="7" t="s">
        <v>1730</v>
      </c>
      <c r="G625" s="7" t="s">
        <v>766</v>
      </c>
      <c r="H625" s="7" t="s">
        <v>890</v>
      </c>
      <c r="I625" s="7" t="s">
        <v>775</v>
      </c>
      <c r="J625" s="7">
        <f t="shared" si="99"/>
        <v>4</v>
      </c>
      <c r="K625" s="9">
        <f t="shared" si="100"/>
        <v>18000</v>
      </c>
      <c r="L625" s="7">
        <v>3</v>
      </c>
      <c r="M625" s="9">
        <f t="shared" si="101"/>
        <v>54000</v>
      </c>
      <c r="N625" s="9">
        <f t="shared" si="102"/>
        <v>27000</v>
      </c>
      <c r="O625" s="7" t="s">
        <v>1006</v>
      </c>
      <c r="P625" s="10">
        <f t="shared" si="103"/>
        <v>0.05</v>
      </c>
      <c r="Q625" s="9">
        <f t="shared" si="104"/>
        <v>2700</v>
      </c>
      <c r="R625" s="9">
        <f t="shared" si="105"/>
        <v>51300</v>
      </c>
      <c r="S625" s="9" t="str">
        <f t="shared" si="106"/>
        <v>Profit</v>
      </c>
      <c r="T625" s="7" t="str">
        <f t="shared" si="107"/>
        <v>Apr</v>
      </c>
      <c r="U625" s="7">
        <f t="shared" si="108"/>
        <v>2025</v>
      </c>
      <c r="V625" s="7" t="str">
        <f t="shared" si="109"/>
        <v>20-25</v>
      </c>
    </row>
    <row r="626" spans="1:22" x14ac:dyDescent="0.3">
      <c r="A626" s="7" t="s">
        <v>643</v>
      </c>
      <c r="B626" s="8" t="s">
        <v>1647</v>
      </c>
      <c r="C626" s="8">
        <v>56</v>
      </c>
      <c r="D626" s="8" t="s">
        <v>721</v>
      </c>
      <c r="E626" s="8" t="s">
        <v>724</v>
      </c>
      <c r="F626" s="7" t="s">
        <v>1736</v>
      </c>
      <c r="G626" s="7" t="s">
        <v>895</v>
      </c>
      <c r="H626" s="7" t="s">
        <v>995</v>
      </c>
      <c r="I626" s="7" t="s">
        <v>965</v>
      </c>
      <c r="J626" s="7">
        <f t="shared" si="99"/>
        <v>10</v>
      </c>
      <c r="K626" s="9">
        <f t="shared" si="100"/>
        <v>120000</v>
      </c>
      <c r="L626" s="7">
        <v>4</v>
      </c>
      <c r="M626" s="9">
        <f t="shared" si="101"/>
        <v>480000</v>
      </c>
      <c r="N626" s="9">
        <f t="shared" si="102"/>
        <v>312000</v>
      </c>
      <c r="O626" s="7" t="s">
        <v>1006</v>
      </c>
      <c r="P626" s="10">
        <f t="shared" si="103"/>
        <v>0.15</v>
      </c>
      <c r="Q626" s="9">
        <f t="shared" si="104"/>
        <v>72000</v>
      </c>
      <c r="R626" s="9">
        <f t="shared" si="105"/>
        <v>408000</v>
      </c>
      <c r="S626" s="9" t="str">
        <f t="shared" si="106"/>
        <v>Profit</v>
      </c>
      <c r="T626" s="7" t="str">
        <f t="shared" si="107"/>
        <v>Aug</v>
      </c>
      <c r="U626" s="7">
        <f t="shared" si="108"/>
        <v>2025</v>
      </c>
      <c r="V626" s="7" t="str">
        <f t="shared" si="109"/>
        <v>55-60</v>
      </c>
    </row>
    <row r="627" spans="1:22" x14ac:dyDescent="0.3">
      <c r="A627" s="7" t="s">
        <v>644</v>
      </c>
      <c r="B627" s="8" t="s">
        <v>1648</v>
      </c>
      <c r="C627" s="8">
        <v>41</v>
      </c>
      <c r="D627" s="8" t="s">
        <v>720</v>
      </c>
      <c r="E627" s="8" t="s">
        <v>723</v>
      </c>
      <c r="F627" s="7" t="s">
        <v>735</v>
      </c>
      <c r="G627" s="7" t="s">
        <v>949</v>
      </c>
      <c r="H627" s="7" t="s">
        <v>996</v>
      </c>
      <c r="I627" s="7" t="s">
        <v>838</v>
      </c>
      <c r="J627" s="7">
        <f t="shared" si="99"/>
        <v>7</v>
      </c>
      <c r="K627" s="9">
        <f t="shared" si="100"/>
        <v>70000</v>
      </c>
      <c r="L627" s="7">
        <v>1</v>
      </c>
      <c r="M627" s="9">
        <f t="shared" si="101"/>
        <v>70000</v>
      </c>
      <c r="N627" s="9">
        <f t="shared" si="102"/>
        <v>42000</v>
      </c>
      <c r="O627" s="7" t="s">
        <v>1007</v>
      </c>
      <c r="P627" s="10">
        <f t="shared" si="103"/>
        <v>0</v>
      </c>
      <c r="Q627" s="9">
        <f t="shared" si="104"/>
        <v>0</v>
      </c>
      <c r="R627" s="9">
        <f t="shared" si="105"/>
        <v>5000</v>
      </c>
      <c r="S627" s="9" t="str">
        <f t="shared" si="106"/>
        <v>Loss</v>
      </c>
      <c r="T627" s="7" t="str">
        <f t="shared" si="107"/>
        <v>Jul</v>
      </c>
      <c r="U627" s="7">
        <f t="shared" si="108"/>
        <v>2025</v>
      </c>
      <c r="V627" s="7" t="str">
        <f t="shared" si="109"/>
        <v>40-45</v>
      </c>
    </row>
    <row r="628" spans="1:22" x14ac:dyDescent="0.3">
      <c r="A628" s="7" t="s">
        <v>645</v>
      </c>
      <c r="B628" s="8" t="s">
        <v>1649</v>
      </c>
      <c r="C628" s="8">
        <v>53</v>
      </c>
      <c r="D628" s="8" t="s">
        <v>720</v>
      </c>
      <c r="E628" s="8" t="s">
        <v>723</v>
      </c>
      <c r="F628" s="7" t="s">
        <v>1730</v>
      </c>
      <c r="G628" s="7" t="s">
        <v>761</v>
      </c>
      <c r="H628" s="7" t="s">
        <v>992</v>
      </c>
      <c r="I628" s="7" t="s">
        <v>882</v>
      </c>
      <c r="J628" s="7">
        <f t="shared" si="99"/>
        <v>7</v>
      </c>
      <c r="K628" s="9">
        <f t="shared" si="100"/>
        <v>70000</v>
      </c>
      <c r="L628" s="7">
        <v>2</v>
      </c>
      <c r="M628" s="9">
        <f t="shared" si="101"/>
        <v>140000</v>
      </c>
      <c r="N628" s="9">
        <f t="shared" si="102"/>
        <v>84000</v>
      </c>
      <c r="O628" s="7" t="s">
        <v>1006</v>
      </c>
      <c r="P628" s="10">
        <f t="shared" si="103"/>
        <v>7.0000000000000007E-2</v>
      </c>
      <c r="Q628" s="9">
        <f t="shared" si="104"/>
        <v>9800.0000000000018</v>
      </c>
      <c r="R628" s="9">
        <f t="shared" si="105"/>
        <v>130200</v>
      </c>
      <c r="S628" s="9" t="str">
        <f t="shared" si="106"/>
        <v>Profit</v>
      </c>
      <c r="T628" s="7" t="str">
        <f t="shared" si="107"/>
        <v>Jan</v>
      </c>
      <c r="U628" s="7">
        <f t="shared" si="108"/>
        <v>2025</v>
      </c>
      <c r="V628" s="7" t="str">
        <f t="shared" si="109"/>
        <v>50-55</v>
      </c>
    </row>
    <row r="629" spans="1:22" x14ac:dyDescent="0.3">
      <c r="A629" s="7" t="s">
        <v>646</v>
      </c>
      <c r="B629" s="8" t="s">
        <v>1650</v>
      </c>
      <c r="C629" s="8">
        <v>30</v>
      </c>
      <c r="D629" s="8" t="s">
        <v>720</v>
      </c>
      <c r="E629" s="8" t="s">
        <v>725</v>
      </c>
      <c r="F629" s="7" t="s">
        <v>733</v>
      </c>
      <c r="G629" s="7" t="s">
        <v>772</v>
      </c>
      <c r="H629" s="7" t="s">
        <v>991</v>
      </c>
      <c r="I629" s="7" t="s">
        <v>965</v>
      </c>
      <c r="J629" s="7">
        <f t="shared" si="99"/>
        <v>8</v>
      </c>
      <c r="K629" s="9">
        <f t="shared" si="100"/>
        <v>80000</v>
      </c>
      <c r="L629" s="7">
        <v>2</v>
      </c>
      <c r="M629" s="9">
        <f t="shared" si="101"/>
        <v>160000</v>
      </c>
      <c r="N629" s="9">
        <f t="shared" si="102"/>
        <v>96000</v>
      </c>
      <c r="O629" s="7" t="s">
        <v>1006</v>
      </c>
      <c r="P629" s="10">
        <f t="shared" si="103"/>
        <v>0.12</v>
      </c>
      <c r="Q629" s="9">
        <f t="shared" si="104"/>
        <v>19200</v>
      </c>
      <c r="R629" s="9">
        <f t="shared" si="105"/>
        <v>140800</v>
      </c>
      <c r="S629" s="9" t="str">
        <f t="shared" si="106"/>
        <v>Profit</v>
      </c>
      <c r="T629" s="7" t="str">
        <f t="shared" si="107"/>
        <v>Aug</v>
      </c>
      <c r="U629" s="7">
        <f t="shared" si="108"/>
        <v>2025</v>
      </c>
      <c r="V629" s="7" t="str">
        <f t="shared" si="109"/>
        <v>30-35</v>
      </c>
    </row>
    <row r="630" spans="1:22" x14ac:dyDescent="0.3">
      <c r="A630" s="7" t="s">
        <v>647</v>
      </c>
      <c r="B630" s="8" t="s">
        <v>1651</v>
      </c>
      <c r="C630" s="8">
        <v>38</v>
      </c>
      <c r="D630" s="8" t="s">
        <v>720</v>
      </c>
      <c r="E630" s="8" t="s">
        <v>726</v>
      </c>
      <c r="F630" s="7" t="s">
        <v>1728</v>
      </c>
      <c r="G630" s="7" t="s">
        <v>804</v>
      </c>
      <c r="H630" s="7" t="s">
        <v>755</v>
      </c>
      <c r="I630" s="7" t="s">
        <v>879</v>
      </c>
      <c r="J630" s="7">
        <f t="shared" si="99"/>
        <v>4</v>
      </c>
      <c r="K630" s="9">
        <f t="shared" si="100"/>
        <v>18000</v>
      </c>
      <c r="L630" s="7">
        <v>2</v>
      </c>
      <c r="M630" s="9">
        <f t="shared" si="101"/>
        <v>36000</v>
      </c>
      <c r="N630" s="9">
        <f t="shared" si="102"/>
        <v>18000</v>
      </c>
      <c r="O630" s="7" t="s">
        <v>1007</v>
      </c>
      <c r="P630" s="10">
        <f t="shared" si="103"/>
        <v>0</v>
      </c>
      <c r="Q630" s="9">
        <f t="shared" si="104"/>
        <v>0</v>
      </c>
      <c r="R630" s="9">
        <f t="shared" si="105"/>
        <v>5000</v>
      </c>
      <c r="S630" s="9" t="str">
        <f t="shared" si="106"/>
        <v>Loss</v>
      </c>
      <c r="T630" s="7" t="str">
        <f t="shared" si="107"/>
        <v>May</v>
      </c>
      <c r="U630" s="7">
        <f t="shared" si="108"/>
        <v>2025</v>
      </c>
      <c r="V630" s="7" t="str">
        <f t="shared" si="109"/>
        <v>35-40</v>
      </c>
    </row>
    <row r="631" spans="1:22" x14ac:dyDescent="0.3">
      <c r="A631" s="7" t="s">
        <v>648</v>
      </c>
      <c r="B631" s="8" t="s">
        <v>1652</v>
      </c>
      <c r="C631" s="8">
        <v>24</v>
      </c>
      <c r="D631" s="8" t="s">
        <v>721</v>
      </c>
      <c r="E631" s="8" t="s">
        <v>722</v>
      </c>
      <c r="F631" s="7" t="s">
        <v>734</v>
      </c>
      <c r="G631" s="7" t="s">
        <v>896</v>
      </c>
      <c r="H631" s="7" t="s">
        <v>888</v>
      </c>
      <c r="I631" s="7" t="s">
        <v>983</v>
      </c>
      <c r="J631" s="7">
        <f t="shared" si="99"/>
        <v>5</v>
      </c>
      <c r="K631" s="9">
        <f t="shared" si="100"/>
        <v>60000</v>
      </c>
      <c r="L631" s="7">
        <v>1</v>
      </c>
      <c r="M631" s="9">
        <f t="shared" si="101"/>
        <v>60000</v>
      </c>
      <c r="N631" s="9">
        <f t="shared" si="102"/>
        <v>39000</v>
      </c>
      <c r="O631" s="7" t="s">
        <v>1007</v>
      </c>
      <c r="P631" s="10">
        <f t="shared" si="103"/>
        <v>0</v>
      </c>
      <c r="Q631" s="9">
        <f t="shared" si="104"/>
        <v>0</v>
      </c>
      <c r="R631" s="9">
        <f t="shared" si="105"/>
        <v>5000</v>
      </c>
      <c r="S631" s="9" t="str">
        <f t="shared" si="106"/>
        <v>Loss</v>
      </c>
      <c r="T631" s="7" t="str">
        <f t="shared" si="107"/>
        <v>Mar</v>
      </c>
      <c r="U631" s="7">
        <f t="shared" si="108"/>
        <v>2025</v>
      </c>
      <c r="V631" s="7" t="str">
        <f t="shared" si="109"/>
        <v>20-25</v>
      </c>
    </row>
    <row r="632" spans="1:22" x14ac:dyDescent="0.3">
      <c r="A632" s="7" t="s">
        <v>649</v>
      </c>
      <c r="B632" s="8" t="s">
        <v>1653</v>
      </c>
      <c r="C632" s="8">
        <v>18</v>
      </c>
      <c r="D632" s="8" t="s">
        <v>721</v>
      </c>
      <c r="E632" s="8" t="s">
        <v>724</v>
      </c>
      <c r="F632" s="7" t="s">
        <v>1735</v>
      </c>
      <c r="G632" s="7" t="s">
        <v>930</v>
      </c>
      <c r="H632" s="7" t="s">
        <v>955</v>
      </c>
      <c r="I632" s="7" t="s">
        <v>875</v>
      </c>
      <c r="J632" s="7">
        <f t="shared" si="99"/>
        <v>10</v>
      </c>
      <c r="K632" s="9">
        <f t="shared" si="100"/>
        <v>120000</v>
      </c>
      <c r="L632" s="7">
        <v>1</v>
      </c>
      <c r="M632" s="9">
        <f t="shared" si="101"/>
        <v>120000</v>
      </c>
      <c r="N632" s="9">
        <f t="shared" si="102"/>
        <v>78000</v>
      </c>
      <c r="O632" s="7" t="s">
        <v>1006</v>
      </c>
      <c r="P632" s="10">
        <f t="shared" si="103"/>
        <v>0.15</v>
      </c>
      <c r="Q632" s="9">
        <f t="shared" si="104"/>
        <v>18000</v>
      </c>
      <c r="R632" s="9">
        <f t="shared" si="105"/>
        <v>102000</v>
      </c>
      <c r="S632" s="9" t="str">
        <f t="shared" si="106"/>
        <v>Profit</v>
      </c>
      <c r="T632" s="7" t="str">
        <f t="shared" si="107"/>
        <v>Jul</v>
      </c>
      <c r="U632" s="7">
        <f t="shared" si="108"/>
        <v>2025</v>
      </c>
      <c r="V632" s="7" t="str">
        <f t="shared" si="109"/>
        <v>15-20</v>
      </c>
    </row>
    <row r="633" spans="1:22" x14ac:dyDescent="0.3">
      <c r="A633" s="7" t="s">
        <v>650</v>
      </c>
      <c r="B633" s="8" t="s">
        <v>1654</v>
      </c>
      <c r="C633" s="8">
        <v>39</v>
      </c>
      <c r="D633" s="8" t="s">
        <v>721</v>
      </c>
      <c r="E633" s="8" t="s">
        <v>724</v>
      </c>
      <c r="F633" s="7" t="s">
        <v>730</v>
      </c>
      <c r="G633" s="7" t="s">
        <v>790</v>
      </c>
      <c r="H633" s="7" t="s">
        <v>762</v>
      </c>
      <c r="I633" s="7" t="s">
        <v>915</v>
      </c>
      <c r="J633" s="7">
        <f t="shared" si="99"/>
        <v>10</v>
      </c>
      <c r="K633" s="9">
        <f t="shared" si="100"/>
        <v>120000</v>
      </c>
      <c r="L633" s="7">
        <v>2</v>
      </c>
      <c r="M633" s="9">
        <f t="shared" si="101"/>
        <v>240000</v>
      </c>
      <c r="N633" s="9">
        <f t="shared" si="102"/>
        <v>156000</v>
      </c>
      <c r="O633" s="7" t="s">
        <v>1006</v>
      </c>
      <c r="P633" s="10">
        <f t="shared" si="103"/>
        <v>0.15</v>
      </c>
      <c r="Q633" s="9">
        <f t="shared" si="104"/>
        <v>36000</v>
      </c>
      <c r="R633" s="9">
        <f t="shared" si="105"/>
        <v>204000</v>
      </c>
      <c r="S633" s="9" t="str">
        <f t="shared" si="106"/>
        <v>Profit</v>
      </c>
      <c r="T633" s="7" t="str">
        <f t="shared" si="107"/>
        <v>Feb</v>
      </c>
      <c r="U633" s="7">
        <f t="shared" si="108"/>
        <v>2025</v>
      </c>
      <c r="V633" s="7" t="str">
        <f t="shared" si="109"/>
        <v>35-40</v>
      </c>
    </row>
    <row r="634" spans="1:22" x14ac:dyDescent="0.3">
      <c r="A634" s="7" t="s">
        <v>651</v>
      </c>
      <c r="B634" s="8" t="s">
        <v>1655</v>
      </c>
      <c r="C634" s="8">
        <v>29</v>
      </c>
      <c r="D634" s="8" t="s">
        <v>720</v>
      </c>
      <c r="E634" s="8" t="s">
        <v>722</v>
      </c>
      <c r="F634" s="7" t="s">
        <v>729</v>
      </c>
      <c r="G634" s="7" t="s">
        <v>955</v>
      </c>
      <c r="H634" s="7" t="s">
        <v>835</v>
      </c>
      <c r="I634" s="7" t="s">
        <v>899</v>
      </c>
      <c r="J634" s="7">
        <f t="shared" si="99"/>
        <v>5</v>
      </c>
      <c r="K634" s="9">
        <f t="shared" si="100"/>
        <v>60000</v>
      </c>
      <c r="L634" s="7">
        <v>1</v>
      </c>
      <c r="M634" s="9">
        <f t="shared" si="101"/>
        <v>60000</v>
      </c>
      <c r="N634" s="9">
        <f t="shared" si="102"/>
        <v>39000</v>
      </c>
      <c r="O634" s="7" t="s">
        <v>1007</v>
      </c>
      <c r="P634" s="10">
        <f t="shared" si="103"/>
        <v>0</v>
      </c>
      <c r="Q634" s="9">
        <f t="shared" si="104"/>
        <v>0</v>
      </c>
      <c r="R634" s="9">
        <f t="shared" si="105"/>
        <v>5000</v>
      </c>
      <c r="S634" s="9" t="str">
        <f t="shared" si="106"/>
        <v>Loss</v>
      </c>
      <c r="T634" s="7" t="str">
        <f t="shared" si="107"/>
        <v>Aug</v>
      </c>
      <c r="U634" s="7">
        <f t="shared" si="108"/>
        <v>2025</v>
      </c>
      <c r="V634" s="7" t="str">
        <f t="shared" si="109"/>
        <v>25-30</v>
      </c>
    </row>
    <row r="635" spans="1:22" x14ac:dyDescent="0.3">
      <c r="A635" s="7" t="s">
        <v>652</v>
      </c>
      <c r="B635" s="8" t="s">
        <v>1656</v>
      </c>
      <c r="C635" s="8">
        <v>29</v>
      </c>
      <c r="D635" s="8" t="s">
        <v>720</v>
      </c>
      <c r="E635" s="8" t="s">
        <v>726</v>
      </c>
      <c r="F635" s="7" t="s">
        <v>1733</v>
      </c>
      <c r="G635" s="7" t="s">
        <v>900</v>
      </c>
      <c r="H635" s="7" t="s">
        <v>866</v>
      </c>
      <c r="I635" s="7" t="s">
        <v>973</v>
      </c>
      <c r="J635" s="7">
        <f t="shared" si="99"/>
        <v>4</v>
      </c>
      <c r="K635" s="9">
        <f t="shared" si="100"/>
        <v>18000</v>
      </c>
      <c r="L635" s="7">
        <v>1</v>
      </c>
      <c r="M635" s="9">
        <f t="shared" si="101"/>
        <v>18000</v>
      </c>
      <c r="N635" s="9">
        <f t="shared" si="102"/>
        <v>9000</v>
      </c>
      <c r="O635" s="7" t="s">
        <v>1007</v>
      </c>
      <c r="P635" s="10">
        <f t="shared" si="103"/>
        <v>0</v>
      </c>
      <c r="Q635" s="9">
        <f t="shared" si="104"/>
        <v>0</v>
      </c>
      <c r="R635" s="9">
        <f t="shared" si="105"/>
        <v>5000</v>
      </c>
      <c r="S635" s="9" t="str">
        <f t="shared" si="106"/>
        <v>Loss</v>
      </c>
      <c r="T635" s="7" t="str">
        <f t="shared" si="107"/>
        <v>Aug</v>
      </c>
      <c r="U635" s="7">
        <f t="shared" si="108"/>
        <v>2025</v>
      </c>
      <c r="V635" s="7" t="str">
        <f t="shared" si="109"/>
        <v>25-30</v>
      </c>
    </row>
    <row r="636" spans="1:22" x14ac:dyDescent="0.3">
      <c r="A636" s="7" t="s">
        <v>653</v>
      </c>
      <c r="B636" s="8" t="s">
        <v>1657</v>
      </c>
      <c r="C636" s="8">
        <v>39</v>
      </c>
      <c r="D636" s="8" t="s">
        <v>721</v>
      </c>
      <c r="E636" s="8" t="s">
        <v>722</v>
      </c>
      <c r="F636" s="7" t="s">
        <v>735</v>
      </c>
      <c r="G636" s="7" t="s">
        <v>864</v>
      </c>
      <c r="H636" s="7" t="s">
        <v>838</v>
      </c>
      <c r="I636" s="7" t="s">
        <v>898</v>
      </c>
      <c r="J636" s="7">
        <f t="shared" si="99"/>
        <v>5</v>
      </c>
      <c r="K636" s="9">
        <f t="shared" si="100"/>
        <v>60000</v>
      </c>
      <c r="L636" s="7">
        <v>1</v>
      </c>
      <c r="M636" s="9">
        <f t="shared" si="101"/>
        <v>60000</v>
      </c>
      <c r="N636" s="9">
        <f t="shared" si="102"/>
        <v>39000</v>
      </c>
      <c r="O636" s="7" t="s">
        <v>1006</v>
      </c>
      <c r="P636" s="10">
        <f t="shared" si="103"/>
        <v>0.1</v>
      </c>
      <c r="Q636" s="9">
        <f t="shared" si="104"/>
        <v>6000</v>
      </c>
      <c r="R636" s="9">
        <f t="shared" si="105"/>
        <v>54000</v>
      </c>
      <c r="S636" s="9" t="str">
        <f t="shared" si="106"/>
        <v>Profit</v>
      </c>
      <c r="T636" s="7" t="str">
        <f t="shared" si="107"/>
        <v>Aug</v>
      </c>
      <c r="U636" s="7">
        <f t="shared" si="108"/>
        <v>2025</v>
      </c>
      <c r="V636" s="7" t="str">
        <f t="shared" si="109"/>
        <v>35-40</v>
      </c>
    </row>
    <row r="637" spans="1:22" x14ac:dyDescent="0.3">
      <c r="A637" s="7" t="s">
        <v>654</v>
      </c>
      <c r="B637" s="8" t="s">
        <v>1658</v>
      </c>
      <c r="C637" s="8">
        <v>45</v>
      </c>
      <c r="D637" s="8" t="s">
        <v>721</v>
      </c>
      <c r="E637" s="8" t="s">
        <v>723</v>
      </c>
      <c r="F637" s="7" t="s">
        <v>735</v>
      </c>
      <c r="G637" s="7" t="s">
        <v>945</v>
      </c>
      <c r="H637" s="7" t="s">
        <v>949</v>
      </c>
      <c r="I637" s="7" t="s">
        <v>917</v>
      </c>
      <c r="J637" s="7">
        <f t="shared" si="99"/>
        <v>7</v>
      </c>
      <c r="K637" s="9">
        <f t="shared" si="100"/>
        <v>70000</v>
      </c>
      <c r="L637" s="7">
        <v>2</v>
      </c>
      <c r="M637" s="9">
        <f t="shared" si="101"/>
        <v>140000</v>
      </c>
      <c r="N637" s="9">
        <f t="shared" si="102"/>
        <v>84000</v>
      </c>
      <c r="O637" s="7" t="s">
        <v>1006</v>
      </c>
      <c r="P637" s="10">
        <f t="shared" si="103"/>
        <v>7.0000000000000007E-2</v>
      </c>
      <c r="Q637" s="9">
        <f t="shared" si="104"/>
        <v>9800.0000000000018</v>
      </c>
      <c r="R637" s="9">
        <f t="shared" si="105"/>
        <v>130200</v>
      </c>
      <c r="S637" s="9" t="str">
        <f t="shared" si="106"/>
        <v>Profit</v>
      </c>
      <c r="T637" s="7" t="str">
        <f t="shared" si="107"/>
        <v>Jun</v>
      </c>
      <c r="U637" s="7">
        <f t="shared" si="108"/>
        <v>2025</v>
      </c>
      <c r="V637" s="7" t="str">
        <f t="shared" si="109"/>
        <v>45-50</v>
      </c>
    </row>
    <row r="638" spans="1:22" x14ac:dyDescent="0.3">
      <c r="A638" s="7" t="s">
        <v>655</v>
      </c>
      <c r="B638" s="8" t="s">
        <v>1659</v>
      </c>
      <c r="C638" s="8">
        <v>54</v>
      </c>
      <c r="D638" s="8" t="s">
        <v>721</v>
      </c>
      <c r="E638" s="8" t="s">
        <v>723</v>
      </c>
      <c r="F638" s="7" t="s">
        <v>734</v>
      </c>
      <c r="G638" s="7" t="s">
        <v>956</v>
      </c>
      <c r="H638" s="7" t="s">
        <v>816</v>
      </c>
      <c r="I638" s="7" t="s">
        <v>879</v>
      </c>
      <c r="J638" s="7">
        <f t="shared" si="99"/>
        <v>7</v>
      </c>
      <c r="K638" s="9">
        <f t="shared" si="100"/>
        <v>70000</v>
      </c>
      <c r="L638" s="7">
        <v>4</v>
      </c>
      <c r="M638" s="9">
        <f t="shared" si="101"/>
        <v>280000</v>
      </c>
      <c r="N638" s="9">
        <f t="shared" si="102"/>
        <v>168000</v>
      </c>
      <c r="O638" s="7" t="s">
        <v>1007</v>
      </c>
      <c r="P638" s="10">
        <f t="shared" si="103"/>
        <v>0</v>
      </c>
      <c r="Q638" s="9">
        <f t="shared" si="104"/>
        <v>0</v>
      </c>
      <c r="R638" s="9">
        <f t="shared" si="105"/>
        <v>5000</v>
      </c>
      <c r="S638" s="9" t="str">
        <f t="shared" si="106"/>
        <v>Loss</v>
      </c>
      <c r="T638" s="7" t="str">
        <f t="shared" si="107"/>
        <v>Apr</v>
      </c>
      <c r="U638" s="7">
        <f t="shared" si="108"/>
        <v>2025</v>
      </c>
      <c r="V638" s="7" t="str">
        <f t="shared" si="109"/>
        <v>50-55</v>
      </c>
    </row>
    <row r="639" spans="1:22" x14ac:dyDescent="0.3">
      <c r="A639" s="7" t="s">
        <v>656</v>
      </c>
      <c r="B639" s="8" t="s">
        <v>1660</v>
      </c>
      <c r="C639" s="8">
        <v>28</v>
      </c>
      <c r="D639" s="8" t="s">
        <v>721</v>
      </c>
      <c r="E639" s="8" t="s">
        <v>722</v>
      </c>
      <c r="F639" s="7" t="s">
        <v>732</v>
      </c>
      <c r="G639" s="7" t="s">
        <v>747</v>
      </c>
      <c r="H639" s="7" t="s">
        <v>843</v>
      </c>
      <c r="I639" s="7" t="s">
        <v>764</v>
      </c>
      <c r="J639" s="7">
        <f t="shared" si="99"/>
        <v>5</v>
      </c>
      <c r="K639" s="9">
        <f t="shared" si="100"/>
        <v>60000</v>
      </c>
      <c r="L639" s="7">
        <v>4</v>
      </c>
      <c r="M639" s="9">
        <f t="shared" si="101"/>
        <v>240000</v>
      </c>
      <c r="N639" s="9">
        <f t="shared" si="102"/>
        <v>156000</v>
      </c>
      <c r="O639" s="7" t="s">
        <v>1007</v>
      </c>
      <c r="P639" s="10">
        <f t="shared" si="103"/>
        <v>0</v>
      </c>
      <c r="Q639" s="9">
        <f t="shared" si="104"/>
        <v>0</v>
      </c>
      <c r="R639" s="9">
        <f t="shared" si="105"/>
        <v>5000</v>
      </c>
      <c r="S639" s="9" t="str">
        <f t="shared" si="106"/>
        <v>Loss</v>
      </c>
      <c r="T639" s="7" t="str">
        <f t="shared" si="107"/>
        <v>Jun</v>
      </c>
      <c r="U639" s="7">
        <f t="shared" si="108"/>
        <v>2025</v>
      </c>
      <c r="V639" s="7" t="str">
        <f t="shared" si="109"/>
        <v>25-30</v>
      </c>
    </row>
    <row r="640" spans="1:22" x14ac:dyDescent="0.3">
      <c r="A640" s="7" t="s">
        <v>657</v>
      </c>
      <c r="B640" s="8" t="s">
        <v>1661</v>
      </c>
      <c r="C640" s="8">
        <v>28</v>
      </c>
      <c r="D640" s="8" t="s">
        <v>721</v>
      </c>
      <c r="E640" s="8" t="s">
        <v>725</v>
      </c>
      <c r="F640" s="7" t="s">
        <v>1730</v>
      </c>
      <c r="G640" s="7" t="s">
        <v>957</v>
      </c>
      <c r="H640" s="7" t="s">
        <v>762</v>
      </c>
      <c r="I640" s="7" t="s">
        <v>948</v>
      </c>
      <c r="J640" s="7">
        <f t="shared" si="99"/>
        <v>8</v>
      </c>
      <c r="K640" s="9">
        <f t="shared" si="100"/>
        <v>80000</v>
      </c>
      <c r="L640" s="7">
        <v>2</v>
      </c>
      <c r="M640" s="9">
        <f t="shared" si="101"/>
        <v>160000</v>
      </c>
      <c r="N640" s="9">
        <f t="shared" si="102"/>
        <v>96000</v>
      </c>
      <c r="O640" s="7" t="s">
        <v>1006</v>
      </c>
      <c r="P640" s="10">
        <f t="shared" si="103"/>
        <v>0.12</v>
      </c>
      <c r="Q640" s="9">
        <f t="shared" si="104"/>
        <v>19200</v>
      </c>
      <c r="R640" s="9">
        <f t="shared" si="105"/>
        <v>140800</v>
      </c>
      <c r="S640" s="9" t="str">
        <f t="shared" si="106"/>
        <v>Profit</v>
      </c>
      <c r="T640" s="7" t="str">
        <f t="shared" si="107"/>
        <v>Feb</v>
      </c>
      <c r="U640" s="7">
        <f t="shared" si="108"/>
        <v>2025</v>
      </c>
      <c r="V640" s="7" t="str">
        <f t="shared" si="109"/>
        <v>25-30</v>
      </c>
    </row>
    <row r="641" spans="1:22" x14ac:dyDescent="0.3">
      <c r="A641" s="7" t="s">
        <v>658</v>
      </c>
      <c r="B641" s="8" t="s">
        <v>1662</v>
      </c>
      <c r="C641" s="8">
        <v>60</v>
      </c>
      <c r="D641" s="8" t="s">
        <v>720</v>
      </c>
      <c r="E641" s="8" t="s">
        <v>722</v>
      </c>
      <c r="F641" s="7" t="s">
        <v>735</v>
      </c>
      <c r="G641" s="7" t="s">
        <v>900</v>
      </c>
      <c r="H641" s="7" t="s">
        <v>971</v>
      </c>
      <c r="I641" s="7" t="s">
        <v>966</v>
      </c>
      <c r="J641" s="7">
        <f t="shared" si="99"/>
        <v>5</v>
      </c>
      <c r="K641" s="9">
        <f t="shared" si="100"/>
        <v>60000</v>
      </c>
      <c r="L641" s="7">
        <v>1</v>
      </c>
      <c r="M641" s="9">
        <f t="shared" si="101"/>
        <v>60000</v>
      </c>
      <c r="N641" s="9">
        <f t="shared" si="102"/>
        <v>39000</v>
      </c>
      <c r="O641" s="7" t="s">
        <v>1006</v>
      </c>
      <c r="P641" s="10">
        <f t="shared" si="103"/>
        <v>0.1</v>
      </c>
      <c r="Q641" s="9">
        <f t="shared" si="104"/>
        <v>6000</v>
      </c>
      <c r="R641" s="9">
        <f t="shared" si="105"/>
        <v>54000</v>
      </c>
      <c r="S641" s="9" t="str">
        <f t="shared" si="106"/>
        <v>Profit</v>
      </c>
      <c r="T641" s="7" t="str">
        <f t="shared" si="107"/>
        <v>Aug</v>
      </c>
      <c r="U641" s="7">
        <f t="shared" si="108"/>
        <v>2025</v>
      </c>
      <c r="V641" s="7" t="str">
        <f t="shared" si="109"/>
        <v>60-65</v>
      </c>
    </row>
    <row r="642" spans="1:22" x14ac:dyDescent="0.3">
      <c r="A642" s="7" t="s">
        <v>659</v>
      </c>
      <c r="B642" s="8" t="s">
        <v>1663</v>
      </c>
      <c r="C642" s="8">
        <v>55</v>
      </c>
      <c r="D642" s="8" t="s">
        <v>721</v>
      </c>
      <c r="E642" s="8" t="s">
        <v>722</v>
      </c>
      <c r="F642" s="7" t="s">
        <v>728</v>
      </c>
      <c r="G642" s="7" t="s">
        <v>856</v>
      </c>
      <c r="H642" s="7" t="s">
        <v>884</v>
      </c>
      <c r="I642" s="7" t="s">
        <v>956</v>
      </c>
      <c r="J642" s="7">
        <f t="shared" si="99"/>
        <v>5</v>
      </c>
      <c r="K642" s="9">
        <f t="shared" si="100"/>
        <v>60000</v>
      </c>
      <c r="L642" s="7">
        <v>4</v>
      </c>
      <c r="M642" s="9">
        <f t="shared" si="101"/>
        <v>240000</v>
      </c>
      <c r="N642" s="9">
        <f t="shared" si="102"/>
        <v>156000</v>
      </c>
      <c r="O642" s="7" t="s">
        <v>1006</v>
      </c>
      <c r="P642" s="10">
        <f t="shared" si="103"/>
        <v>0.1</v>
      </c>
      <c r="Q642" s="9">
        <f t="shared" si="104"/>
        <v>24000</v>
      </c>
      <c r="R642" s="9">
        <f t="shared" si="105"/>
        <v>216000</v>
      </c>
      <c r="S642" s="9" t="str">
        <f t="shared" si="106"/>
        <v>Profit</v>
      </c>
      <c r="T642" s="7" t="str">
        <f t="shared" si="107"/>
        <v>Mar</v>
      </c>
      <c r="U642" s="7">
        <f t="shared" si="108"/>
        <v>2025</v>
      </c>
      <c r="V642" s="7" t="str">
        <f t="shared" si="109"/>
        <v>55-60</v>
      </c>
    </row>
    <row r="643" spans="1:22" x14ac:dyDescent="0.3">
      <c r="A643" s="7" t="s">
        <v>660</v>
      </c>
      <c r="B643" s="8" t="s">
        <v>1664</v>
      </c>
      <c r="C643" s="8">
        <v>30</v>
      </c>
      <c r="D643" s="8" t="s">
        <v>721</v>
      </c>
      <c r="E643" s="8" t="s">
        <v>725</v>
      </c>
      <c r="F643" s="7" t="s">
        <v>1730</v>
      </c>
      <c r="G643" s="7" t="s">
        <v>920</v>
      </c>
      <c r="H643" s="7" t="s">
        <v>753</v>
      </c>
      <c r="I643" s="7" t="s">
        <v>774</v>
      </c>
      <c r="J643" s="7">
        <f t="shared" si="99"/>
        <v>8</v>
      </c>
      <c r="K643" s="9">
        <f t="shared" si="100"/>
        <v>80000</v>
      </c>
      <c r="L643" s="7">
        <v>2</v>
      </c>
      <c r="M643" s="9">
        <f t="shared" si="101"/>
        <v>160000</v>
      </c>
      <c r="N643" s="9">
        <f t="shared" si="102"/>
        <v>96000</v>
      </c>
      <c r="O643" s="7" t="s">
        <v>1007</v>
      </c>
      <c r="P643" s="10">
        <f t="shared" si="103"/>
        <v>0</v>
      </c>
      <c r="Q643" s="9">
        <f t="shared" si="104"/>
        <v>0</v>
      </c>
      <c r="R643" s="9">
        <f t="shared" si="105"/>
        <v>5000</v>
      </c>
      <c r="S643" s="9" t="str">
        <f t="shared" si="106"/>
        <v>Loss</v>
      </c>
      <c r="T643" s="7" t="str">
        <f t="shared" si="107"/>
        <v>Jul</v>
      </c>
      <c r="U643" s="7">
        <f t="shared" si="108"/>
        <v>2025</v>
      </c>
      <c r="V643" s="7" t="str">
        <f t="shared" si="109"/>
        <v>30-35</v>
      </c>
    </row>
    <row r="644" spans="1:22" x14ac:dyDescent="0.3">
      <c r="A644" s="7" t="s">
        <v>661</v>
      </c>
      <c r="B644" s="8" t="s">
        <v>1665</v>
      </c>
      <c r="C644" s="8">
        <v>32</v>
      </c>
      <c r="D644" s="8" t="s">
        <v>721</v>
      </c>
      <c r="E644" s="8" t="s">
        <v>723</v>
      </c>
      <c r="F644" s="7" t="s">
        <v>727</v>
      </c>
      <c r="G644" s="7" t="s">
        <v>952</v>
      </c>
      <c r="H644" s="7" t="s">
        <v>891</v>
      </c>
      <c r="I644" s="7" t="s">
        <v>930</v>
      </c>
      <c r="J644" s="7">
        <f t="shared" ref="J644:J702" si="110">IF(E644="Adventure",5,IF(E644="Domestic",4,IF(E644="Family",7,IF(E644="Honeymoon",8,IF(E644="International",10,"")))))</f>
        <v>7</v>
      </c>
      <c r="K644" s="9">
        <f t="shared" ref="K644:K702" si="111">IF(E644="Adventure",60000,
IF(E644="Domestic",18000,
IF(E644="Family",70000,
IF(E644="Honeymoon",80000,
IF(E644="International",120000,"")))))</f>
        <v>70000</v>
      </c>
      <c r="L644" s="7">
        <v>1</v>
      </c>
      <c r="M644" s="9">
        <f t="shared" ref="M644:M702" si="112">K644*L644</f>
        <v>70000</v>
      </c>
      <c r="N644" s="9">
        <f t="shared" ref="N644:N702" si="113">IF(E644="Adventure",M644*65%,IF(E644="Domestic",M644*50%,IF(E644="Family",M644*60%,IF(E644="Honeymoon",M644*60%,IF(E644="International",M644*65%,0)))))</f>
        <v>42000</v>
      </c>
      <c r="O644" s="7" t="s">
        <v>1007</v>
      </c>
      <c r="P644" s="10">
        <f t="shared" ref="P644:P702" si="114">IF(O644="Cancelled",0,IF(E644="Domestic",5%,IF(E644="Adventure",10%,IF(E644="Family",7%,IF(E644="Honeymoon",12%,IF(E644="International",15%,0))))))</f>
        <v>0</v>
      </c>
      <c r="Q644" s="9">
        <f t="shared" ref="Q644:Q702" si="115">M644*P644</f>
        <v>0</v>
      </c>
      <c r="R644" s="9">
        <f t="shared" ref="R644:R702" si="116">IF(O644="Cancelled",5000,M644-Q644)</f>
        <v>5000</v>
      </c>
      <c r="S644" s="9" t="str">
        <f t="shared" ref="S644:S702" si="117">IF(R644-N644&gt;5000,"Profit","Loss")</f>
        <v>Loss</v>
      </c>
      <c r="T644" s="7" t="str">
        <f t="shared" ref="T644:T702" si="118">TEXT(G644,"mmm")</f>
        <v>Jun</v>
      </c>
      <c r="U644" s="7">
        <f t="shared" ref="U644:U702" si="119">YEAR(G644)</f>
        <v>2025</v>
      </c>
      <c r="V644" s="7" t="str">
        <f t="shared" ref="V644:V702" si="120">FLOOR(C644,5) &amp; "-" &amp; FLOOR(C644,5)+5</f>
        <v>30-35</v>
      </c>
    </row>
    <row r="645" spans="1:22" x14ac:dyDescent="0.3">
      <c r="A645" s="7" t="s">
        <v>662</v>
      </c>
      <c r="B645" s="8" t="s">
        <v>1666</v>
      </c>
      <c r="C645" s="8">
        <v>30</v>
      </c>
      <c r="D645" s="8" t="s">
        <v>721</v>
      </c>
      <c r="E645" s="8" t="s">
        <v>726</v>
      </c>
      <c r="F645" s="7" t="s">
        <v>727</v>
      </c>
      <c r="G645" s="7" t="s">
        <v>827</v>
      </c>
      <c r="H645" s="7" t="s">
        <v>846</v>
      </c>
      <c r="I645" s="7" t="s">
        <v>789</v>
      </c>
      <c r="J645" s="7">
        <f t="shared" si="110"/>
        <v>4</v>
      </c>
      <c r="K645" s="9">
        <f t="shared" si="111"/>
        <v>18000</v>
      </c>
      <c r="L645" s="7">
        <v>1</v>
      </c>
      <c r="M645" s="9">
        <f t="shared" si="112"/>
        <v>18000</v>
      </c>
      <c r="N645" s="9">
        <f t="shared" si="113"/>
        <v>9000</v>
      </c>
      <c r="O645" s="7" t="s">
        <v>1006</v>
      </c>
      <c r="P645" s="10">
        <f t="shared" si="114"/>
        <v>0.05</v>
      </c>
      <c r="Q645" s="9">
        <f t="shared" si="115"/>
        <v>900</v>
      </c>
      <c r="R645" s="9">
        <f t="shared" si="116"/>
        <v>17100</v>
      </c>
      <c r="S645" s="9" t="str">
        <f t="shared" si="117"/>
        <v>Profit</v>
      </c>
      <c r="T645" s="7" t="str">
        <f t="shared" si="118"/>
        <v>Apr</v>
      </c>
      <c r="U645" s="7">
        <f t="shared" si="119"/>
        <v>2025</v>
      </c>
      <c r="V645" s="7" t="str">
        <f t="shared" si="120"/>
        <v>30-35</v>
      </c>
    </row>
    <row r="646" spans="1:22" x14ac:dyDescent="0.3">
      <c r="A646" s="7" t="s">
        <v>663</v>
      </c>
      <c r="B646" s="8" t="s">
        <v>1667</v>
      </c>
      <c r="C646" s="8">
        <v>32</v>
      </c>
      <c r="D646" s="8" t="s">
        <v>721</v>
      </c>
      <c r="E646" s="8" t="s">
        <v>725</v>
      </c>
      <c r="F646" s="7" t="s">
        <v>733</v>
      </c>
      <c r="G646" s="7" t="s">
        <v>932</v>
      </c>
      <c r="H646" s="7" t="s">
        <v>744</v>
      </c>
      <c r="I646" s="7" t="s">
        <v>781</v>
      </c>
      <c r="J646" s="7">
        <f t="shared" si="110"/>
        <v>8</v>
      </c>
      <c r="K646" s="9">
        <f t="shared" si="111"/>
        <v>80000</v>
      </c>
      <c r="L646" s="7">
        <v>2</v>
      </c>
      <c r="M646" s="9">
        <f t="shared" si="112"/>
        <v>160000</v>
      </c>
      <c r="N646" s="9">
        <f t="shared" si="113"/>
        <v>96000</v>
      </c>
      <c r="O646" s="7" t="s">
        <v>1007</v>
      </c>
      <c r="P646" s="10">
        <f t="shared" si="114"/>
        <v>0</v>
      </c>
      <c r="Q646" s="9">
        <f t="shared" si="115"/>
        <v>0</v>
      </c>
      <c r="R646" s="9">
        <f t="shared" si="116"/>
        <v>5000</v>
      </c>
      <c r="S646" s="9" t="str">
        <f t="shared" si="117"/>
        <v>Loss</v>
      </c>
      <c r="T646" s="7" t="str">
        <f t="shared" si="118"/>
        <v>Jan</v>
      </c>
      <c r="U646" s="7">
        <f t="shared" si="119"/>
        <v>2025</v>
      </c>
      <c r="V646" s="7" t="str">
        <f t="shared" si="120"/>
        <v>30-35</v>
      </c>
    </row>
    <row r="647" spans="1:22" x14ac:dyDescent="0.3">
      <c r="A647" s="7" t="s">
        <v>664</v>
      </c>
      <c r="B647" s="8" t="s">
        <v>1668</v>
      </c>
      <c r="C647" s="8">
        <v>31</v>
      </c>
      <c r="D647" s="8" t="s">
        <v>721</v>
      </c>
      <c r="E647" s="8" t="s">
        <v>725</v>
      </c>
      <c r="F647" s="7" t="s">
        <v>729</v>
      </c>
      <c r="G647" s="7" t="s">
        <v>772</v>
      </c>
      <c r="H647" s="7" t="s">
        <v>969</v>
      </c>
      <c r="I647" s="7" t="s">
        <v>989</v>
      </c>
      <c r="J647" s="7">
        <f t="shared" si="110"/>
        <v>8</v>
      </c>
      <c r="K647" s="9">
        <f t="shared" si="111"/>
        <v>80000</v>
      </c>
      <c r="L647" s="7">
        <v>2</v>
      </c>
      <c r="M647" s="9">
        <f t="shared" si="112"/>
        <v>160000</v>
      </c>
      <c r="N647" s="9">
        <f t="shared" si="113"/>
        <v>96000</v>
      </c>
      <c r="O647" s="7" t="s">
        <v>1006</v>
      </c>
      <c r="P647" s="10">
        <f t="shared" si="114"/>
        <v>0.12</v>
      </c>
      <c r="Q647" s="9">
        <f t="shared" si="115"/>
        <v>19200</v>
      </c>
      <c r="R647" s="9">
        <f t="shared" si="116"/>
        <v>140800</v>
      </c>
      <c r="S647" s="9" t="str">
        <f t="shared" si="117"/>
        <v>Profit</v>
      </c>
      <c r="T647" s="7" t="str">
        <f t="shared" si="118"/>
        <v>Aug</v>
      </c>
      <c r="U647" s="7">
        <f t="shared" si="119"/>
        <v>2025</v>
      </c>
      <c r="V647" s="7" t="str">
        <f t="shared" si="120"/>
        <v>30-35</v>
      </c>
    </row>
    <row r="648" spans="1:22" x14ac:dyDescent="0.3">
      <c r="A648" s="7" t="s">
        <v>665</v>
      </c>
      <c r="B648" s="8" t="s">
        <v>1669</v>
      </c>
      <c r="C648" s="8">
        <v>27</v>
      </c>
      <c r="D648" s="8" t="s">
        <v>720</v>
      </c>
      <c r="E648" s="8" t="s">
        <v>725</v>
      </c>
      <c r="F648" s="7" t="s">
        <v>727</v>
      </c>
      <c r="G648" s="7" t="s">
        <v>842</v>
      </c>
      <c r="H648" s="7" t="s">
        <v>979</v>
      </c>
      <c r="I648" s="7" t="s">
        <v>747</v>
      </c>
      <c r="J648" s="7">
        <f t="shared" si="110"/>
        <v>8</v>
      </c>
      <c r="K648" s="9">
        <f t="shared" si="111"/>
        <v>80000</v>
      </c>
      <c r="L648" s="7">
        <v>2</v>
      </c>
      <c r="M648" s="9">
        <f t="shared" si="112"/>
        <v>160000</v>
      </c>
      <c r="N648" s="9">
        <f t="shared" si="113"/>
        <v>96000</v>
      </c>
      <c r="O648" s="7" t="s">
        <v>1006</v>
      </c>
      <c r="P648" s="10">
        <f t="shared" si="114"/>
        <v>0.12</v>
      </c>
      <c r="Q648" s="9">
        <f t="shared" si="115"/>
        <v>19200</v>
      </c>
      <c r="R648" s="9">
        <f t="shared" si="116"/>
        <v>140800</v>
      </c>
      <c r="S648" s="9" t="str">
        <f t="shared" si="117"/>
        <v>Profit</v>
      </c>
      <c r="T648" s="7" t="str">
        <f t="shared" si="118"/>
        <v>May</v>
      </c>
      <c r="U648" s="7">
        <f t="shared" si="119"/>
        <v>2025</v>
      </c>
      <c r="V648" s="7" t="str">
        <f t="shared" si="120"/>
        <v>25-30</v>
      </c>
    </row>
    <row r="649" spans="1:22" x14ac:dyDescent="0.3">
      <c r="A649" s="7" t="s">
        <v>666</v>
      </c>
      <c r="B649" s="8" t="s">
        <v>1670</v>
      </c>
      <c r="C649" s="8">
        <v>28</v>
      </c>
      <c r="D649" s="8" t="s">
        <v>720</v>
      </c>
      <c r="E649" s="8" t="s">
        <v>722</v>
      </c>
      <c r="F649" s="7" t="s">
        <v>731</v>
      </c>
      <c r="G649" s="7" t="s">
        <v>906</v>
      </c>
      <c r="H649" s="7" t="s">
        <v>823</v>
      </c>
      <c r="I649" s="7" t="s">
        <v>773</v>
      </c>
      <c r="J649" s="7">
        <f t="shared" si="110"/>
        <v>5</v>
      </c>
      <c r="K649" s="9">
        <f t="shared" si="111"/>
        <v>60000</v>
      </c>
      <c r="L649" s="7">
        <v>3</v>
      </c>
      <c r="M649" s="9">
        <f t="shared" si="112"/>
        <v>180000</v>
      </c>
      <c r="N649" s="9">
        <f t="shared" si="113"/>
        <v>117000</v>
      </c>
      <c r="O649" s="7" t="s">
        <v>1007</v>
      </c>
      <c r="P649" s="10">
        <f t="shared" si="114"/>
        <v>0</v>
      </c>
      <c r="Q649" s="9">
        <f t="shared" si="115"/>
        <v>0</v>
      </c>
      <c r="R649" s="9">
        <f t="shared" si="116"/>
        <v>5000</v>
      </c>
      <c r="S649" s="9" t="str">
        <f t="shared" si="117"/>
        <v>Loss</v>
      </c>
      <c r="T649" s="7" t="str">
        <f t="shared" si="118"/>
        <v>Jan</v>
      </c>
      <c r="U649" s="7">
        <f t="shared" si="119"/>
        <v>2025</v>
      </c>
      <c r="V649" s="7" t="str">
        <f t="shared" si="120"/>
        <v>25-30</v>
      </c>
    </row>
    <row r="650" spans="1:22" x14ac:dyDescent="0.3">
      <c r="A650" s="7" t="s">
        <v>667</v>
      </c>
      <c r="B650" s="8" t="s">
        <v>1671</v>
      </c>
      <c r="C650" s="8">
        <v>44</v>
      </c>
      <c r="D650" s="8" t="s">
        <v>720</v>
      </c>
      <c r="E650" s="8" t="s">
        <v>723</v>
      </c>
      <c r="F650" s="7" t="s">
        <v>730</v>
      </c>
      <c r="G650" s="7" t="s">
        <v>827</v>
      </c>
      <c r="H650" s="7" t="s">
        <v>746</v>
      </c>
      <c r="I650" s="7" t="s">
        <v>775</v>
      </c>
      <c r="J650" s="7">
        <f t="shared" si="110"/>
        <v>7</v>
      </c>
      <c r="K650" s="9">
        <f t="shared" si="111"/>
        <v>70000</v>
      </c>
      <c r="L650" s="7">
        <v>3</v>
      </c>
      <c r="M650" s="9">
        <f t="shared" si="112"/>
        <v>210000</v>
      </c>
      <c r="N650" s="9">
        <f t="shared" si="113"/>
        <v>126000</v>
      </c>
      <c r="O650" s="7" t="s">
        <v>1007</v>
      </c>
      <c r="P650" s="10">
        <f t="shared" si="114"/>
        <v>0</v>
      </c>
      <c r="Q650" s="9">
        <f t="shared" si="115"/>
        <v>0</v>
      </c>
      <c r="R650" s="9">
        <f t="shared" si="116"/>
        <v>5000</v>
      </c>
      <c r="S650" s="9" t="str">
        <f t="shared" si="117"/>
        <v>Loss</v>
      </c>
      <c r="T650" s="7" t="str">
        <f t="shared" si="118"/>
        <v>Apr</v>
      </c>
      <c r="U650" s="7">
        <f t="shared" si="119"/>
        <v>2025</v>
      </c>
      <c r="V650" s="7" t="str">
        <f t="shared" si="120"/>
        <v>40-45</v>
      </c>
    </row>
    <row r="651" spans="1:22" x14ac:dyDescent="0.3">
      <c r="A651" s="7" t="s">
        <v>668</v>
      </c>
      <c r="B651" s="8" t="s">
        <v>1672</v>
      </c>
      <c r="C651" s="8">
        <v>26</v>
      </c>
      <c r="D651" s="8" t="s">
        <v>720</v>
      </c>
      <c r="E651" s="8" t="s">
        <v>724</v>
      </c>
      <c r="F651" s="7" t="s">
        <v>734</v>
      </c>
      <c r="G651" s="7" t="s">
        <v>899</v>
      </c>
      <c r="H651" s="7" t="s">
        <v>989</v>
      </c>
      <c r="I651" s="7" t="s">
        <v>995</v>
      </c>
      <c r="J651" s="7">
        <f t="shared" si="110"/>
        <v>10</v>
      </c>
      <c r="K651" s="9">
        <f t="shared" si="111"/>
        <v>120000</v>
      </c>
      <c r="L651" s="7">
        <v>3</v>
      </c>
      <c r="M651" s="9">
        <f t="shared" si="112"/>
        <v>360000</v>
      </c>
      <c r="N651" s="9">
        <f t="shared" si="113"/>
        <v>234000</v>
      </c>
      <c r="O651" s="7" t="s">
        <v>1007</v>
      </c>
      <c r="P651" s="10">
        <f t="shared" si="114"/>
        <v>0</v>
      </c>
      <c r="Q651" s="9">
        <f t="shared" si="115"/>
        <v>0</v>
      </c>
      <c r="R651" s="9">
        <f t="shared" si="116"/>
        <v>5000</v>
      </c>
      <c r="S651" s="9" t="str">
        <f t="shared" si="117"/>
        <v>Loss</v>
      </c>
      <c r="T651" s="7" t="str">
        <f t="shared" si="118"/>
        <v>Aug</v>
      </c>
      <c r="U651" s="7">
        <f t="shared" si="119"/>
        <v>2025</v>
      </c>
      <c r="V651" s="7" t="str">
        <f t="shared" si="120"/>
        <v>25-30</v>
      </c>
    </row>
    <row r="652" spans="1:22" x14ac:dyDescent="0.3">
      <c r="A652" s="7" t="s">
        <v>669</v>
      </c>
      <c r="B652" s="8" t="s">
        <v>1673</v>
      </c>
      <c r="C652" s="8">
        <v>27</v>
      </c>
      <c r="D652" s="8" t="s">
        <v>720</v>
      </c>
      <c r="E652" s="8" t="s">
        <v>726</v>
      </c>
      <c r="F652" s="7" t="s">
        <v>1729</v>
      </c>
      <c r="G652" s="7" t="s">
        <v>941</v>
      </c>
      <c r="H652" s="7" t="s">
        <v>966</v>
      </c>
      <c r="I652" s="7" t="s">
        <v>1002</v>
      </c>
      <c r="J652" s="7">
        <f t="shared" si="110"/>
        <v>4</v>
      </c>
      <c r="K652" s="9">
        <f t="shared" si="111"/>
        <v>18000</v>
      </c>
      <c r="L652" s="7">
        <v>2</v>
      </c>
      <c r="M652" s="9">
        <f t="shared" si="112"/>
        <v>36000</v>
      </c>
      <c r="N652" s="9">
        <f t="shared" si="113"/>
        <v>18000</v>
      </c>
      <c r="O652" s="7" t="s">
        <v>1007</v>
      </c>
      <c r="P652" s="10">
        <f t="shared" si="114"/>
        <v>0</v>
      </c>
      <c r="Q652" s="9">
        <f t="shared" si="115"/>
        <v>0</v>
      </c>
      <c r="R652" s="9">
        <f t="shared" si="116"/>
        <v>5000</v>
      </c>
      <c r="S652" s="9" t="str">
        <f t="shared" si="117"/>
        <v>Loss</v>
      </c>
      <c r="T652" s="7" t="str">
        <f t="shared" si="118"/>
        <v>Aug</v>
      </c>
      <c r="U652" s="7">
        <f t="shared" si="119"/>
        <v>2025</v>
      </c>
      <c r="V652" s="7" t="str">
        <f t="shared" si="120"/>
        <v>25-30</v>
      </c>
    </row>
    <row r="653" spans="1:22" x14ac:dyDescent="0.3">
      <c r="A653" s="7" t="s">
        <v>670</v>
      </c>
      <c r="B653" s="8" t="s">
        <v>1674</v>
      </c>
      <c r="C653" s="8">
        <v>58</v>
      </c>
      <c r="D653" s="8" t="s">
        <v>720</v>
      </c>
      <c r="E653" s="8" t="s">
        <v>724</v>
      </c>
      <c r="F653" s="7" t="s">
        <v>734</v>
      </c>
      <c r="G653" s="7" t="s">
        <v>943</v>
      </c>
      <c r="H653" s="7" t="s">
        <v>780</v>
      </c>
      <c r="I653" s="7" t="s">
        <v>864</v>
      </c>
      <c r="J653" s="7">
        <f t="shared" si="110"/>
        <v>10</v>
      </c>
      <c r="K653" s="9">
        <f t="shared" si="111"/>
        <v>120000</v>
      </c>
      <c r="L653" s="7">
        <v>2</v>
      </c>
      <c r="M653" s="9">
        <f t="shared" si="112"/>
        <v>240000</v>
      </c>
      <c r="N653" s="9">
        <f t="shared" si="113"/>
        <v>156000</v>
      </c>
      <c r="O653" s="7" t="s">
        <v>1007</v>
      </c>
      <c r="P653" s="10">
        <f t="shared" si="114"/>
        <v>0</v>
      </c>
      <c r="Q653" s="9">
        <f t="shared" si="115"/>
        <v>0</v>
      </c>
      <c r="R653" s="9">
        <f t="shared" si="116"/>
        <v>5000</v>
      </c>
      <c r="S653" s="9" t="str">
        <f t="shared" si="117"/>
        <v>Loss</v>
      </c>
      <c r="T653" s="7" t="str">
        <f t="shared" si="118"/>
        <v>Jul</v>
      </c>
      <c r="U653" s="7">
        <f t="shared" si="119"/>
        <v>2025</v>
      </c>
      <c r="V653" s="7" t="str">
        <f t="shared" si="120"/>
        <v>55-60</v>
      </c>
    </row>
    <row r="654" spans="1:22" x14ac:dyDescent="0.3">
      <c r="A654" s="7" t="s">
        <v>671</v>
      </c>
      <c r="B654" s="8" t="s">
        <v>1675</v>
      </c>
      <c r="C654" s="8">
        <v>20</v>
      </c>
      <c r="D654" s="8" t="s">
        <v>720</v>
      </c>
      <c r="E654" s="8" t="s">
        <v>726</v>
      </c>
      <c r="F654" s="7" t="s">
        <v>1733</v>
      </c>
      <c r="G654" s="7" t="s">
        <v>790</v>
      </c>
      <c r="H654" s="7" t="s">
        <v>877</v>
      </c>
      <c r="I654" s="7" t="s">
        <v>754</v>
      </c>
      <c r="J654" s="7">
        <f t="shared" si="110"/>
        <v>4</v>
      </c>
      <c r="K654" s="9">
        <f t="shared" si="111"/>
        <v>18000</v>
      </c>
      <c r="L654" s="7">
        <v>4</v>
      </c>
      <c r="M654" s="9">
        <f t="shared" si="112"/>
        <v>72000</v>
      </c>
      <c r="N654" s="9">
        <f t="shared" si="113"/>
        <v>36000</v>
      </c>
      <c r="O654" s="7" t="s">
        <v>1007</v>
      </c>
      <c r="P654" s="10">
        <f t="shared" si="114"/>
        <v>0</v>
      </c>
      <c r="Q654" s="9">
        <f t="shared" si="115"/>
        <v>0</v>
      </c>
      <c r="R654" s="9">
        <f t="shared" si="116"/>
        <v>5000</v>
      </c>
      <c r="S654" s="9" t="str">
        <f t="shared" si="117"/>
        <v>Loss</v>
      </c>
      <c r="T654" s="7" t="str">
        <f t="shared" si="118"/>
        <v>Feb</v>
      </c>
      <c r="U654" s="7">
        <f t="shared" si="119"/>
        <v>2025</v>
      </c>
      <c r="V654" s="7" t="str">
        <f t="shared" si="120"/>
        <v>20-25</v>
      </c>
    </row>
    <row r="655" spans="1:22" x14ac:dyDescent="0.3">
      <c r="A655" s="7" t="s">
        <v>672</v>
      </c>
      <c r="B655" s="8" t="s">
        <v>1676</v>
      </c>
      <c r="C655" s="8">
        <v>60</v>
      </c>
      <c r="D655" s="8" t="s">
        <v>721</v>
      </c>
      <c r="E655" s="8" t="s">
        <v>726</v>
      </c>
      <c r="F655" s="7" t="s">
        <v>1726</v>
      </c>
      <c r="G655" s="7" t="s">
        <v>957</v>
      </c>
      <c r="H655" s="7" t="s">
        <v>855</v>
      </c>
      <c r="I655" s="7" t="s">
        <v>915</v>
      </c>
      <c r="J655" s="7">
        <f t="shared" si="110"/>
        <v>4</v>
      </c>
      <c r="K655" s="9">
        <f t="shared" si="111"/>
        <v>18000</v>
      </c>
      <c r="L655" s="7">
        <v>3</v>
      </c>
      <c r="M655" s="9">
        <f t="shared" si="112"/>
        <v>54000</v>
      </c>
      <c r="N655" s="9">
        <f t="shared" si="113"/>
        <v>27000</v>
      </c>
      <c r="O655" s="7" t="s">
        <v>1007</v>
      </c>
      <c r="P655" s="10">
        <f t="shared" si="114"/>
        <v>0</v>
      </c>
      <c r="Q655" s="9">
        <f t="shared" si="115"/>
        <v>0</v>
      </c>
      <c r="R655" s="9">
        <f t="shared" si="116"/>
        <v>5000</v>
      </c>
      <c r="S655" s="9" t="str">
        <f t="shared" si="117"/>
        <v>Loss</v>
      </c>
      <c r="T655" s="7" t="str">
        <f t="shared" si="118"/>
        <v>Feb</v>
      </c>
      <c r="U655" s="7">
        <f t="shared" si="119"/>
        <v>2025</v>
      </c>
      <c r="V655" s="7" t="str">
        <f t="shared" si="120"/>
        <v>60-65</v>
      </c>
    </row>
    <row r="656" spans="1:22" x14ac:dyDescent="0.3">
      <c r="A656" s="7" t="s">
        <v>673</v>
      </c>
      <c r="B656" s="8" t="s">
        <v>1677</v>
      </c>
      <c r="C656" s="8">
        <v>19</v>
      </c>
      <c r="D656" s="8" t="s">
        <v>720</v>
      </c>
      <c r="E656" s="8" t="s">
        <v>724</v>
      </c>
      <c r="F656" s="7" t="s">
        <v>1736</v>
      </c>
      <c r="G656" s="7" t="s">
        <v>886</v>
      </c>
      <c r="H656" s="7" t="s">
        <v>935</v>
      </c>
      <c r="I656" s="7" t="s">
        <v>956</v>
      </c>
      <c r="J656" s="7">
        <f t="shared" si="110"/>
        <v>10</v>
      </c>
      <c r="K656" s="9">
        <f t="shared" si="111"/>
        <v>120000</v>
      </c>
      <c r="L656" s="7">
        <v>3</v>
      </c>
      <c r="M656" s="9">
        <f t="shared" si="112"/>
        <v>360000</v>
      </c>
      <c r="N656" s="9">
        <f t="shared" si="113"/>
        <v>234000</v>
      </c>
      <c r="O656" s="7" t="s">
        <v>1006</v>
      </c>
      <c r="P656" s="10">
        <f t="shared" si="114"/>
        <v>0.15</v>
      </c>
      <c r="Q656" s="9">
        <f t="shared" si="115"/>
        <v>54000</v>
      </c>
      <c r="R656" s="9">
        <f t="shared" si="116"/>
        <v>306000</v>
      </c>
      <c r="S656" s="9" t="str">
        <f t="shared" si="117"/>
        <v>Profit</v>
      </c>
      <c r="T656" s="7" t="str">
        <f t="shared" si="118"/>
        <v>Mar</v>
      </c>
      <c r="U656" s="7">
        <f t="shared" si="119"/>
        <v>2025</v>
      </c>
      <c r="V656" s="7" t="str">
        <f t="shared" si="120"/>
        <v>15-20</v>
      </c>
    </row>
    <row r="657" spans="1:22" x14ac:dyDescent="0.3">
      <c r="A657" s="7" t="s">
        <v>674</v>
      </c>
      <c r="B657" s="8" t="s">
        <v>1678</v>
      </c>
      <c r="C657" s="8">
        <v>57</v>
      </c>
      <c r="D657" s="8" t="s">
        <v>721</v>
      </c>
      <c r="E657" s="8" t="s">
        <v>722</v>
      </c>
      <c r="F657" s="7" t="s">
        <v>732</v>
      </c>
      <c r="G657" s="7" t="s">
        <v>958</v>
      </c>
      <c r="H657" s="7" t="s">
        <v>833</v>
      </c>
      <c r="I657" s="7" t="s">
        <v>826</v>
      </c>
      <c r="J657" s="7">
        <f t="shared" si="110"/>
        <v>5</v>
      </c>
      <c r="K657" s="9">
        <f t="shared" si="111"/>
        <v>60000</v>
      </c>
      <c r="L657" s="7">
        <v>2</v>
      </c>
      <c r="M657" s="9">
        <f t="shared" si="112"/>
        <v>120000</v>
      </c>
      <c r="N657" s="9">
        <f t="shared" si="113"/>
        <v>78000</v>
      </c>
      <c r="O657" s="7" t="s">
        <v>1007</v>
      </c>
      <c r="P657" s="10">
        <f t="shared" si="114"/>
        <v>0</v>
      </c>
      <c r="Q657" s="9">
        <f t="shared" si="115"/>
        <v>0</v>
      </c>
      <c r="R657" s="9">
        <f t="shared" si="116"/>
        <v>5000</v>
      </c>
      <c r="S657" s="9" t="str">
        <f t="shared" si="117"/>
        <v>Loss</v>
      </c>
      <c r="T657" s="7" t="str">
        <f t="shared" si="118"/>
        <v>May</v>
      </c>
      <c r="U657" s="7">
        <f t="shared" si="119"/>
        <v>2025</v>
      </c>
      <c r="V657" s="7" t="str">
        <f t="shared" si="120"/>
        <v>55-60</v>
      </c>
    </row>
    <row r="658" spans="1:22" x14ac:dyDescent="0.3">
      <c r="A658" s="7" t="s">
        <v>675</v>
      </c>
      <c r="B658" s="8" t="s">
        <v>1679</v>
      </c>
      <c r="C658" s="8">
        <v>31</v>
      </c>
      <c r="D658" s="8" t="s">
        <v>721</v>
      </c>
      <c r="E658" s="8" t="s">
        <v>725</v>
      </c>
      <c r="F658" s="7" t="s">
        <v>730</v>
      </c>
      <c r="G658" s="7" t="s">
        <v>792</v>
      </c>
      <c r="H658" s="7" t="s">
        <v>989</v>
      </c>
      <c r="I658" s="7" t="s">
        <v>995</v>
      </c>
      <c r="J658" s="7">
        <f t="shared" si="110"/>
        <v>8</v>
      </c>
      <c r="K658" s="9">
        <f t="shared" si="111"/>
        <v>80000</v>
      </c>
      <c r="L658" s="7">
        <v>2</v>
      </c>
      <c r="M658" s="9">
        <f t="shared" si="112"/>
        <v>160000</v>
      </c>
      <c r="N658" s="9">
        <f t="shared" si="113"/>
        <v>96000</v>
      </c>
      <c r="O658" s="7" t="s">
        <v>1006</v>
      </c>
      <c r="P658" s="10">
        <f t="shared" si="114"/>
        <v>0.12</v>
      </c>
      <c r="Q658" s="9">
        <f t="shared" si="115"/>
        <v>19200</v>
      </c>
      <c r="R658" s="9">
        <f t="shared" si="116"/>
        <v>140800</v>
      </c>
      <c r="S658" s="9" t="str">
        <f t="shared" si="117"/>
        <v>Profit</v>
      </c>
      <c r="T658" s="7" t="str">
        <f t="shared" si="118"/>
        <v>Aug</v>
      </c>
      <c r="U658" s="7">
        <f t="shared" si="119"/>
        <v>2025</v>
      </c>
      <c r="V658" s="7" t="str">
        <f t="shared" si="120"/>
        <v>30-35</v>
      </c>
    </row>
    <row r="659" spans="1:22" x14ac:dyDescent="0.3">
      <c r="A659" s="7" t="s">
        <v>676</v>
      </c>
      <c r="B659" s="8" t="s">
        <v>1680</v>
      </c>
      <c r="C659" s="8">
        <v>44</v>
      </c>
      <c r="D659" s="8" t="s">
        <v>720</v>
      </c>
      <c r="E659" s="8" t="s">
        <v>723</v>
      </c>
      <c r="F659" s="7" t="s">
        <v>727</v>
      </c>
      <c r="G659" s="7" t="s">
        <v>790</v>
      </c>
      <c r="H659" s="7" t="s">
        <v>896</v>
      </c>
      <c r="I659" s="7" t="s">
        <v>948</v>
      </c>
      <c r="J659" s="7">
        <f t="shared" si="110"/>
        <v>7</v>
      </c>
      <c r="K659" s="9">
        <f t="shared" si="111"/>
        <v>70000</v>
      </c>
      <c r="L659" s="7">
        <v>3</v>
      </c>
      <c r="M659" s="9">
        <f t="shared" si="112"/>
        <v>210000</v>
      </c>
      <c r="N659" s="9">
        <f t="shared" si="113"/>
        <v>126000</v>
      </c>
      <c r="O659" s="7" t="s">
        <v>1007</v>
      </c>
      <c r="P659" s="10">
        <f t="shared" si="114"/>
        <v>0</v>
      </c>
      <c r="Q659" s="9">
        <f t="shared" si="115"/>
        <v>0</v>
      </c>
      <c r="R659" s="9">
        <f t="shared" si="116"/>
        <v>5000</v>
      </c>
      <c r="S659" s="9" t="str">
        <f t="shared" si="117"/>
        <v>Loss</v>
      </c>
      <c r="T659" s="7" t="str">
        <f t="shared" si="118"/>
        <v>Feb</v>
      </c>
      <c r="U659" s="7">
        <f t="shared" si="119"/>
        <v>2025</v>
      </c>
      <c r="V659" s="7" t="str">
        <f t="shared" si="120"/>
        <v>40-45</v>
      </c>
    </row>
    <row r="660" spans="1:22" x14ac:dyDescent="0.3">
      <c r="A660" s="7" t="s">
        <v>677</v>
      </c>
      <c r="B660" s="8" t="s">
        <v>1681</v>
      </c>
      <c r="C660" s="8">
        <v>23</v>
      </c>
      <c r="D660" s="8" t="s">
        <v>721</v>
      </c>
      <c r="E660" s="8" t="s">
        <v>724</v>
      </c>
      <c r="F660" s="7" t="s">
        <v>1736</v>
      </c>
      <c r="G660" s="7" t="s">
        <v>959</v>
      </c>
      <c r="H660" s="7" t="s">
        <v>872</v>
      </c>
      <c r="I660" s="7" t="s">
        <v>857</v>
      </c>
      <c r="J660" s="7">
        <f t="shared" si="110"/>
        <v>10</v>
      </c>
      <c r="K660" s="9">
        <f t="shared" si="111"/>
        <v>120000</v>
      </c>
      <c r="L660" s="7">
        <v>1</v>
      </c>
      <c r="M660" s="9">
        <f t="shared" si="112"/>
        <v>120000</v>
      </c>
      <c r="N660" s="9">
        <f t="shared" si="113"/>
        <v>78000</v>
      </c>
      <c r="O660" s="7" t="s">
        <v>1006</v>
      </c>
      <c r="P660" s="10">
        <f t="shared" si="114"/>
        <v>0.15</v>
      </c>
      <c r="Q660" s="9">
        <f t="shared" si="115"/>
        <v>18000</v>
      </c>
      <c r="R660" s="9">
        <f t="shared" si="116"/>
        <v>102000</v>
      </c>
      <c r="S660" s="9" t="str">
        <f t="shared" si="117"/>
        <v>Profit</v>
      </c>
      <c r="T660" s="7" t="str">
        <f t="shared" si="118"/>
        <v>Jul</v>
      </c>
      <c r="U660" s="7">
        <f t="shared" si="119"/>
        <v>2025</v>
      </c>
      <c r="V660" s="7" t="str">
        <f t="shared" si="120"/>
        <v>20-25</v>
      </c>
    </row>
    <row r="661" spans="1:22" x14ac:dyDescent="0.3">
      <c r="A661" s="7" t="s">
        <v>678</v>
      </c>
      <c r="B661" s="8" t="s">
        <v>1682</v>
      </c>
      <c r="C661" s="8">
        <v>47</v>
      </c>
      <c r="D661" s="8" t="s">
        <v>720</v>
      </c>
      <c r="E661" s="8" t="s">
        <v>723</v>
      </c>
      <c r="F661" s="7" t="s">
        <v>730</v>
      </c>
      <c r="G661" s="7" t="s">
        <v>941</v>
      </c>
      <c r="H661" s="7" t="s">
        <v>997</v>
      </c>
      <c r="I661" s="7" t="s">
        <v>989</v>
      </c>
      <c r="J661" s="7">
        <f t="shared" si="110"/>
        <v>7</v>
      </c>
      <c r="K661" s="9">
        <f t="shared" si="111"/>
        <v>70000</v>
      </c>
      <c r="L661" s="7">
        <v>4</v>
      </c>
      <c r="M661" s="9">
        <f t="shared" si="112"/>
        <v>280000</v>
      </c>
      <c r="N661" s="9">
        <f t="shared" si="113"/>
        <v>168000</v>
      </c>
      <c r="O661" s="7" t="s">
        <v>1007</v>
      </c>
      <c r="P661" s="10">
        <f t="shared" si="114"/>
        <v>0</v>
      </c>
      <c r="Q661" s="9">
        <f t="shared" si="115"/>
        <v>0</v>
      </c>
      <c r="R661" s="9">
        <f t="shared" si="116"/>
        <v>5000</v>
      </c>
      <c r="S661" s="9" t="str">
        <f t="shared" si="117"/>
        <v>Loss</v>
      </c>
      <c r="T661" s="7" t="str">
        <f t="shared" si="118"/>
        <v>Aug</v>
      </c>
      <c r="U661" s="7">
        <f t="shared" si="119"/>
        <v>2025</v>
      </c>
      <c r="V661" s="7" t="str">
        <f t="shared" si="120"/>
        <v>45-50</v>
      </c>
    </row>
    <row r="662" spans="1:22" x14ac:dyDescent="0.3">
      <c r="A662" s="7" t="s">
        <v>679</v>
      </c>
      <c r="B662" s="8" t="s">
        <v>1683</v>
      </c>
      <c r="C662" s="8">
        <v>38</v>
      </c>
      <c r="D662" s="8" t="s">
        <v>720</v>
      </c>
      <c r="E662" s="8" t="s">
        <v>724</v>
      </c>
      <c r="F662" s="7" t="s">
        <v>1735</v>
      </c>
      <c r="G662" s="7" t="s">
        <v>754</v>
      </c>
      <c r="H662" s="7" t="s">
        <v>848</v>
      </c>
      <c r="I662" s="7" t="s">
        <v>741</v>
      </c>
      <c r="J662" s="7">
        <f t="shared" si="110"/>
        <v>10</v>
      </c>
      <c r="K662" s="9">
        <f t="shared" si="111"/>
        <v>120000</v>
      </c>
      <c r="L662" s="7">
        <v>1</v>
      </c>
      <c r="M662" s="9">
        <f t="shared" si="112"/>
        <v>120000</v>
      </c>
      <c r="N662" s="9">
        <f t="shared" si="113"/>
        <v>78000</v>
      </c>
      <c r="O662" s="7" t="s">
        <v>1007</v>
      </c>
      <c r="P662" s="10">
        <f t="shared" si="114"/>
        <v>0</v>
      </c>
      <c r="Q662" s="9">
        <f t="shared" si="115"/>
        <v>0</v>
      </c>
      <c r="R662" s="9">
        <f t="shared" si="116"/>
        <v>5000</v>
      </c>
      <c r="S662" s="9" t="str">
        <f t="shared" si="117"/>
        <v>Loss</v>
      </c>
      <c r="T662" s="7" t="str">
        <f t="shared" si="118"/>
        <v>Mar</v>
      </c>
      <c r="U662" s="7">
        <f t="shared" si="119"/>
        <v>2025</v>
      </c>
      <c r="V662" s="7" t="str">
        <f t="shared" si="120"/>
        <v>35-40</v>
      </c>
    </row>
    <row r="663" spans="1:22" x14ac:dyDescent="0.3">
      <c r="A663" s="7" t="s">
        <v>680</v>
      </c>
      <c r="B663" s="8" t="s">
        <v>1684</v>
      </c>
      <c r="C663" s="8">
        <v>57</v>
      </c>
      <c r="D663" s="8" t="s">
        <v>720</v>
      </c>
      <c r="E663" s="8" t="s">
        <v>723</v>
      </c>
      <c r="F663" s="7" t="s">
        <v>735</v>
      </c>
      <c r="G663" s="7" t="s">
        <v>960</v>
      </c>
      <c r="H663" s="7" t="s">
        <v>755</v>
      </c>
      <c r="I663" s="7" t="s">
        <v>890</v>
      </c>
      <c r="J663" s="7">
        <f t="shared" si="110"/>
        <v>7</v>
      </c>
      <c r="K663" s="9">
        <f t="shared" si="111"/>
        <v>70000</v>
      </c>
      <c r="L663" s="7">
        <v>2</v>
      </c>
      <c r="M663" s="9">
        <f t="shared" si="112"/>
        <v>140000</v>
      </c>
      <c r="N663" s="9">
        <f t="shared" si="113"/>
        <v>84000</v>
      </c>
      <c r="O663" s="7" t="s">
        <v>1007</v>
      </c>
      <c r="P663" s="10">
        <f t="shared" si="114"/>
        <v>0</v>
      </c>
      <c r="Q663" s="9">
        <f t="shared" si="115"/>
        <v>0</v>
      </c>
      <c r="R663" s="9">
        <f t="shared" si="116"/>
        <v>5000</v>
      </c>
      <c r="S663" s="9" t="str">
        <f t="shared" si="117"/>
        <v>Loss</v>
      </c>
      <c r="T663" s="7" t="str">
        <f t="shared" si="118"/>
        <v>Apr</v>
      </c>
      <c r="U663" s="7">
        <f t="shared" si="119"/>
        <v>2025</v>
      </c>
      <c r="V663" s="7" t="str">
        <f t="shared" si="120"/>
        <v>55-60</v>
      </c>
    </row>
    <row r="664" spans="1:22" x14ac:dyDescent="0.3">
      <c r="A664" s="7" t="s">
        <v>681</v>
      </c>
      <c r="B664" s="8" t="s">
        <v>1685</v>
      </c>
      <c r="C664" s="8">
        <v>28</v>
      </c>
      <c r="D664" s="8" t="s">
        <v>721</v>
      </c>
      <c r="E664" s="8" t="s">
        <v>725</v>
      </c>
      <c r="F664" s="7" t="s">
        <v>1730</v>
      </c>
      <c r="G664" s="7" t="s">
        <v>810</v>
      </c>
      <c r="H664" s="7" t="s">
        <v>943</v>
      </c>
      <c r="I664" s="7" t="s">
        <v>857</v>
      </c>
      <c r="J664" s="7">
        <f t="shared" si="110"/>
        <v>8</v>
      </c>
      <c r="K664" s="9">
        <f t="shared" si="111"/>
        <v>80000</v>
      </c>
      <c r="L664" s="7">
        <v>2</v>
      </c>
      <c r="M664" s="9">
        <f t="shared" si="112"/>
        <v>160000</v>
      </c>
      <c r="N664" s="9">
        <f t="shared" si="113"/>
        <v>96000</v>
      </c>
      <c r="O664" s="7" t="s">
        <v>1007</v>
      </c>
      <c r="P664" s="10">
        <f t="shared" si="114"/>
        <v>0</v>
      </c>
      <c r="Q664" s="9">
        <f t="shared" si="115"/>
        <v>0</v>
      </c>
      <c r="R664" s="9">
        <f t="shared" si="116"/>
        <v>5000</v>
      </c>
      <c r="S664" s="9" t="str">
        <f t="shared" si="117"/>
        <v>Loss</v>
      </c>
      <c r="T664" s="7" t="str">
        <f t="shared" si="118"/>
        <v>Jun</v>
      </c>
      <c r="U664" s="7">
        <f t="shared" si="119"/>
        <v>2025</v>
      </c>
      <c r="V664" s="7" t="str">
        <f t="shared" si="120"/>
        <v>25-30</v>
      </c>
    </row>
    <row r="665" spans="1:22" x14ac:dyDescent="0.3">
      <c r="A665" s="7" t="s">
        <v>682</v>
      </c>
      <c r="B665" s="8" t="s">
        <v>1686</v>
      </c>
      <c r="C665" s="8">
        <v>49</v>
      </c>
      <c r="D665" s="8" t="s">
        <v>721</v>
      </c>
      <c r="E665" s="8" t="s">
        <v>723</v>
      </c>
      <c r="F665" s="7" t="s">
        <v>733</v>
      </c>
      <c r="G665" s="7" t="s">
        <v>781</v>
      </c>
      <c r="H665" s="7" t="s">
        <v>882</v>
      </c>
      <c r="I665" s="7" t="s">
        <v>790</v>
      </c>
      <c r="J665" s="7">
        <f t="shared" si="110"/>
        <v>7</v>
      </c>
      <c r="K665" s="9">
        <f t="shared" si="111"/>
        <v>70000</v>
      </c>
      <c r="L665" s="7">
        <v>2</v>
      </c>
      <c r="M665" s="9">
        <f t="shared" si="112"/>
        <v>140000</v>
      </c>
      <c r="N665" s="9">
        <f t="shared" si="113"/>
        <v>84000</v>
      </c>
      <c r="O665" s="7" t="s">
        <v>1006</v>
      </c>
      <c r="P665" s="10">
        <f t="shared" si="114"/>
        <v>7.0000000000000007E-2</v>
      </c>
      <c r="Q665" s="9">
        <f t="shared" si="115"/>
        <v>9800.0000000000018</v>
      </c>
      <c r="R665" s="9">
        <f t="shared" si="116"/>
        <v>130200</v>
      </c>
      <c r="S665" s="9" t="str">
        <f t="shared" si="117"/>
        <v>Profit</v>
      </c>
      <c r="T665" s="7" t="str">
        <f t="shared" si="118"/>
        <v>Feb</v>
      </c>
      <c r="U665" s="7">
        <f t="shared" si="119"/>
        <v>2025</v>
      </c>
      <c r="V665" s="7" t="str">
        <f t="shared" si="120"/>
        <v>45-50</v>
      </c>
    </row>
    <row r="666" spans="1:22" x14ac:dyDescent="0.3">
      <c r="A666" s="7" t="s">
        <v>683</v>
      </c>
      <c r="B666" s="8" t="s">
        <v>1687</v>
      </c>
      <c r="C666" s="8">
        <v>59</v>
      </c>
      <c r="D666" s="8" t="s">
        <v>721</v>
      </c>
      <c r="E666" s="8" t="s">
        <v>724</v>
      </c>
      <c r="F666" s="7" t="s">
        <v>735</v>
      </c>
      <c r="G666" s="7" t="s">
        <v>780</v>
      </c>
      <c r="H666" s="7" t="s">
        <v>772</v>
      </c>
      <c r="I666" s="7" t="s">
        <v>969</v>
      </c>
      <c r="J666" s="7">
        <f t="shared" si="110"/>
        <v>10</v>
      </c>
      <c r="K666" s="9">
        <f t="shared" si="111"/>
        <v>120000</v>
      </c>
      <c r="L666" s="7">
        <v>4</v>
      </c>
      <c r="M666" s="9">
        <f t="shared" si="112"/>
        <v>480000</v>
      </c>
      <c r="N666" s="9">
        <f t="shared" si="113"/>
        <v>312000</v>
      </c>
      <c r="O666" s="7" t="s">
        <v>1007</v>
      </c>
      <c r="P666" s="10">
        <f t="shared" si="114"/>
        <v>0</v>
      </c>
      <c r="Q666" s="9">
        <f t="shared" si="115"/>
        <v>0</v>
      </c>
      <c r="R666" s="9">
        <f t="shared" si="116"/>
        <v>5000</v>
      </c>
      <c r="S666" s="9" t="str">
        <f t="shared" si="117"/>
        <v>Loss</v>
      </c>
      <c r="T666" s="7" t="str">
        <f t="shared" si="118"/>
        <v>Jul</v>
      </c>
      <c r="U666" s="7">
        <f t="shared" si="119"/>
        <v>2025</v>
      </c>
      <c r="V666" s="7" t="str">
        <f t="shared" si="120"/>
        <v>55-60</v>
      </c>
    </row>
    <row r="667" spans="1:22" x14ac:dyDescent="0.3">
      <c r="A667" s="7" t="s">
        <v>684</v>
      </c>
      <c r="B667" s="8" t="s">
        <v>1688</v>
      </c>
      <c r="C667" s="8">
        <v>37</v>
      </c>
      <c r="D667" s="8" t="s">
        <v>721</v>
      </c>
      <c r="E667" s="8" t="s">
        <v>726</v>
      </c>
      <c r="F667" s="7" t="s">
        <v>728</v>
      </c>
      <c r="G667" s="7" t="s">
        <v>961</v>
      </c>
      <c r="H667" s="7" t="s">
        <v>956</v>
      </c>
      <c r="I667" s="7" t="s">
        <v>846</v>
      </c>
      <c r="J667" s="7">
        <f t="shared" si="110"/>
        <v>4</v>
      </c>
      <c r="K667" s="9">
        <f t="shared" si="111"/>
        <v>18000</v>
      </c>
      <c r="L667" s="7">
        <v>4</v>
      </c>
      <c r="M667" s="9">
        <f t="shared" si="112"/>
        <v>72000</v>
      </c>
      <c r="N667" s="9">
        <f t="shared" si="113"/>
        <v>36000</v>
      </c>
      <c r="O667" s="7" t="s">
        <v>1007</v>
      </c>
      <c r="P667" s="10">
        <f t="shared" si="114"/>
        <v>0</v>
      </c>
      <c r="Q667" s="9">
        <f t="shared" si="115"/>
        <v>0</v>
      </c>
      <c r="R667" s="9">
        <f t="shared" si="116"/>
        <v>5000</v>
      </c>
      <c r="S667" s="9" t="str">
        <f t="shared" si="117"/>
        <v>Loss</v>
      </c>
      <c r="T667" s="7" t="str">
        <f t="shared" si="118"/>
        <v>Apr</v>
      </c>
      <c r="U667" s="7">
        <f t="shared" si="119"/>
        <v>2025</v>
      </c>
      <c r="V667" s="7" t="str">
        <f t="shared" si="120"/>
        <v>35-40</v>
      </c>
    </row>
    <row r="668" spans="1:22" x14ac:dyDescent="0.3">
      <c r="A668" s="7" t="s">
        <v>685</v>
      </c>
      <c r="B668" s="8" t="s">
        <v>1689</v>
      </c>
      <c r="C668" s="8">
        <v>18</v>
      </c>
      <c r="D668" s="8" t="s">
        <v>720</v>
      </c>
      <c r="E668" s="8" t="s">
        <v>722</v>
      </c>
      <c r="F668" s="7" t="s">
        <v>735</v>
      </c>
      <c r="G668" s="7" t="s">
        <v>886</v>
      </c>
      <c r="H668" s="7" t="s">
        <v>858</v>
      </c>
      <c r="I668" s="7" t="s">
        <v>846</v>
      </c>
      <c r="J668" s="7">
        <f t="shared" si="110"/>
        <v>5</v>
      </c>
      <c r="K668" s="9">
        <f t="shared" si="111"/>
        <v>60000</v>
      </c>
      <c r="L668" s="7">
        <v>2</v>
      </c>
      <c r="M668" s="9">
        <f t="shared" si="112"/>
        <v>120000</v>
      </c>
      <c r="N668" s="9">
        <f t="shared" si="113"/>
        <v>78000</v>
      </c>
      <c r="O668" s="7" t="s">
        <v>1006</v>
      </c>
      <c r="P668" s="10">
        <f t="shared" si="114"/>
        <v>0.1</v>
      </c>
      <c r="Q668" s="9">
        <f t="shared" si="115"/>
        <v>12000</v>
      </c>
      <c r="R668" s="9">
        <f t="shared" si="116"/>
        <v>108000</v>
      </c>
      <c r="S668" s="9" t="str">
        <f t="shared" si="117"/>
        <v>Profit</v>
      </c>
      <c r="T668" s="7" t="str">
        <f t="shared" si="118"/>
        <v>Mar</v>
      </c>
      <c r="U668" s="7">
        <f t="shared" si="119"/>
        <v>2025</v>
      </c>
      <c r="V668" s="7" t="str">
        <f t="shared" si="120"/>
        <v>15-20</v>
      </c>
    </row>
    <row r="669" spans="1:22" x14ac:dyDescent="0.3">
      <c r="A669" s="7" t="s">
        <v>686</v>
      </c>
      <c r="B669" s="8" t="s">
        <v>1690</v>
      </c>
      <c r="C669" s="8">
        <v>25</v>
      </c>
      <c r="D669" s="8" t="s">
        <v>721</v>
      </c>
      <c r="E669" s="8" t="s">
        <v>725</v>
      </c>
      <c r="F669" s="7" t="s">
        <v>1730</v>
      </c>
      <c r="G669" s="7" t="s">
        <v>962</v>
      </c>
      <c r="H669" s="7" t="s">
        <v>787</v>
      </c>
      <c r="I669" s="7" t="s">
        <v>812</v>
      </c>
      <c r="J669" s="7">
        <f t="shared" si="110"/>
        <v>8</v>
      </c>
      <c r="K669" s="9">
        <f t="shared" si="111"/>
        <v>80000</v>
      </c>
      <c r="L669" s="7">
        <v>2</v>
      </c>
      <c r="M669" s="9">
        <f t="shared" si="112"/>
        <v>160000</v>
      </c>
      <c r="N669" s="9">
        <f t="shared" si="113"/>
        <v>96000</v>
      </c>
      <c r="O669" s="7" t="s">
        <v>1006</v>
      </c>
      <c r="P669" s="10">
        <f t="shared" si="114"/>
        <v>0.12</v>
      </c>
      <c r="Q669" s="9">
        <f t="shared" si="115"/>
        <v>19200</v>
      </c>
      <c r="R669" s="9">
        <f t="shared" si="116"/>
        <v>140800</v>
      </c>
      <c r="S669" s="9" t="str">
        <f t="shared" si="117"/>
        <v>Profit</v>
      </c>
      <c r="T669" s="7" t="str">
        <f t="shared" si="118"/>
        <v>Jun</v>
      </c>
      <c r="U669" s="7">
        <f t="shared" si="119"/>
        <v>2025</v>
      </c>
      <c r="V669" s="7" t="str">
        <f t="shared" si="120"/>
        <v>25-30</v>
      </c>
    </row>
    <row r="670" spans="1:22" x14ac:dyDescent="0.3">
      <c r="A670" s="7" t="s">
        <v>687</v>
      </c>
      <c r="B670" s="8" t="s">
        <v>1691</v>
      </c>
      <c r="C670" s="8">
        <v>23</v>
      </c>
      <c r="D670" s="8" t="s">
        <v>720</v>
      </c>
      <c r="E670" s="8" t="s">
        <v>723</v>
      </c>
      <c r="F670" s="7" t="s">
        <v>735</v>
      </c>
      <c r="G670" s="7" t="s">
        <v>876</v>
      </c>
      <c r="H670" s="7" t="s">
        <v>992</v>
      </c>
      <c r="I670" s="7" t="s">
        <v>773</v>
      </c>
      <c r="J670" s="7">
        <f t="shared" si="110"/>
        <v>7</v>
      </c>
      <c r="K670" s="9">
        <f t="shared" si="111"/>
        <v>70000</v>
      </c>
      <c r="L670" s="7">
        <v>2</v>
      </c>
      <c r="M670" s="9">
        <f t="shared" si="112"/>
        <v>140000</v>
      </c>
      <c r="N670" s="9">
        <f t="shared" si="113"/>
        <v>84000</v>
      </c>
      <c r="O670" s="7" t="s">
        <v>1007</v>
      </c>
      <c r="P670" s="10">
        <f t="shared" si="114"/>
        <v>0</v>
      </c>
      <c r="Q670" s="9">
        <f t="shared" si="115"/>
        <v>0</v>
      </c>
      <c r="R670" s="9">
        <f t="shared" si="116"/>
        <v>5000</v>
      </c>
      <c r="S670" s="9" t="str">
        <f t="shared" si="117"/>
        <v>Loss</v>
      </c>
      <c r="T670" s="7" t="str">
        <f t="shared" si="118"/>
        <v>Jan</v>
      </c>
      <c r="U670" s="7">
        <f t="shared" si="119"/>
        <v>2025</v>
      </c>
      <c r="V670" s="7" t="str">
        <f t="shared" si="120"/>
        <v>20-25</v>
      </c>
    </row>
    <row r="671" spans="1:22" x14ac:dyDescent="0.3">
      <c r="A671" s="7" t="s">
        <v>688</v>
      </c>
      <c r="B671" s="8" t="s">
        <v>1692</v>
      </c>
      <c r="C671" s="8">
        <v>26</v>
      </c>
      <c r="D671" s="8" t="s">
        <v>720</v>
      </c>
      <c r="E671" s="8" t="s">
        <v>725</v>
      </c>
      <c r="F671" s="7" t="s">
        <v>730</v>
      </c>
      <c r="G671" s="7" t="s">
        <v>931</v>
      </c>
      <c r="H671" s="7" t="s">
        <v>900</v>
      </c>
      <c r="I671" s="7" t="s">
        <v>919</v>
      </c>
      <c r="J671" s="7">
        <f t="shared" si="110"/>
        <v>8</v>
      </c>
      <c r="K671" s="9">
        <f t="shared" si="111"/>
        <v>80000</v>
      </c>
      <c r="L671" s="7">
        <v>2</v>
      </c>
      <c r="M671" s="9">
        <f t="shared" si="112"/>
        <v>160000</v>
      </c>
      <c r="N671" s="9">
        <f t="shared" si="113"/>
        <v>96000</v>
      </c>
      <c r="O671" s="7" t="s">
        <v>1006</v>
      </c>
      <c r="P671" s="10">
        <f t="shared" si="114"/>
        <v>0.12</v>
      </c>
      <c r="Q671" s="9">
        <f t="shared" si="115"/>
        <v>19200</v>
      </c>
      <c r="R671" s="9">
        <f t="shared" si="116"/>
        <v>140800</v>
      </c>
      <c r="S671" s="9" t="str">
        <f t="shared" si="117"/>
        <v>Profit</v>
      </c>
      <c r="T671" s="7" t="str">
        <f t="shared" si="118"/>
        <v>Aug</v>
      </c>
      <c r="U671" s="7">
        <f t="shared" si="119"/>
        <v>2025</v>
      </c>
      <c r="V671" s="7" t="str">
        <f t="shared" si="120"/>
        <v>25-30</v>
      </c>
    </row>
    <row r="672" spans="1:22" x14ac:dyDescent="0.3">
      <c r="A672" s="7" t="s">
        <v>689</v>
      </c>
      <c r="B672" s="8" t="s">
        <v>1693</v>
      </c>
      <c r="C672" s="8">
        <v>38</v>
      </c>
      <c r="D672" s="8" t="s">
        <v>721</v>
      </c>
      <c r="E672" s="8" t="s">
        <v>722</v>
      </c>
      <c r="F672" s="7" t="s">
        <v>730</v>
      </c>
      <c r="G672" s="7" t="s">
        <v>907</v>
      </c>
      <c r="H672" s="7" t="s">
        <v>912</v>
      </c>
      <c r="I672" s="7" t="s">
        <v>815</v>
      </c>
      <c r="J672" s="7">
        <f t="shared" si="110"/>
        <v>5</v>
      </c>
      <c r="K672" s="9">
        <f t="shared" si="111"/>
        <v>60000</v>
      </c>
      <c r="L672" s="7">
        <v>4</v>
      </c>
      <c r="M672" s="9">
        <f t="shared" si="112"/>
        <v>240000</v>
      </c>
      <c r="N672" s="9">
        <f t="shared" si="113"/>
        <v>156000</v>
      </c>
      <c r="O672" s="7" t="s">
        <v>1006</v>
      </c>
      <c r="P672" s="10">
        <f t="shared" si="114"/>
        <v>0.1</v>
      </c>
      <c r="Q672" s="9">
        <f t="shared" si="115"/>
        <v>24000</v>
      </c>
      <c r="R672" s="9">
        <f t="shared" si="116"/>
        <v>216000</v>
      </c>
      <c r="S672" s="9" t="str">
        <f t="shared" si="117"/>
        <v>Profit</v>
      </c>
      <c r="T672" s="7" t="str">
        <f t="shared" si="118"/>
        <v>Mar</v>
      </c>
      <c r="U672" s="7">
        <f t="shared" si="119"/>
        <v>2025</v>
      </c>
      <c r="V672" s="7" t="str">
        <f t="shared" si="120"/>
        <v>35-40</v>
      </c>
    </row>
    <row r="673" spans="1:22" x14ac:dyDescent="0.3">
      <c r="A673" s="7" t="s">
        <v>690</v>
      </c>
      <c r="B673" s="8" t="s">
        <v>1694</v>
      </c>
      <c r="C673" s="8">
        <v>28</v>
      </c>
      <c r="D673" s="8" t="s">
        <v>720</v>
      </c>
      <c r="E673" s="8" t="s">
        <v>725</v>
      </c>
      <c r="F673" s="7" t="s">
        <v>731</v>
      </c>
      <c r="G673" s="7" t="s">
        <v>899</v>
      </c>
      <c r="H673" s="7" t="s">
        <v>985</v>
      </c>
      <c r="I673" s="7" t="s">
        <v>993</v>
      </c>
      <c r="J673" s="7">
        <f t="shared" si="110"/>
        <v>8</v>
      </c>
      <c r="K673" s="9">
        <f t="shared" si="111"/>
        <v>80000</v>
      </c>
      <c r="L673" s="7">
        <v>2</v>
      </c>
      <c r="M673" s="9">
        <f t="shared" si="112"/>
        <v>160000</v>
      </c>
      <c r="N673" s="9">
        <f t="shared" si="113"/>
        <v>96000</v>
      </c>
      <c r="O673" s="7" t="s">
        <v>1007</v>
      </c>
      <c r="P673" s="10">
        <f t="shared" si="114"/>
        <v>0</v>
      </c>
      <c r="Q673" s="9">
        <f t="shared" si="115"/>
        <v>0</v>
      </c>
      <c r="R673" s="9">
        <f t="shared" si="116"/>
        <v>5000</v>
      </c>
      <c r="S673" s="9" t="str">
        <f t="shared" si="117"/>
        <v>Loss</v>
      </c>
      <c r="T673" s="7" t="str">
        <f t="shared" si="118"/>
        <v>Aug</v>
      </c>
      <c r="U673" s="7">
        <f t="shared" si="119"/>
        <v>2025</v>
      </c>
      <c r="V673" s="7" t="str">
        <f t="shared" si="120"/>
        <v>25-30</v>
      </c>
    </row>
    <row r="674" spans="1:22" x14ac:dyDescent="0.3">
      <c r="A674" s="7" t="s">
        <v>691</v>
      </c>
      <c r="B674" s="8" t="s">
        <v>1695</v>
      </c>
      <c r="C674" s="8">
        <v>46</v>
      </c>
      <c r="D674" s="8" t="s">
        <v>721</v>
      </c>
      <c r="E674" s="8" t="s">
        <v>723</v>
      </c>
      <c r="F674" s="7" t="s">
        <v>734</v>
      </c>
      <c r="G674" s="7" t="s">
        <v>885</v>
      </c>
      <c r="H674" s="7" t="s">
        <v>808</v>
      </c>
      <c r="I674" s="7" t="s">
        <v>814</v>
      </c>
      <c r="J674" s="7">
        <f t="shared" si="110"/>
        <v>7</v>
      </c>
      <c r="K674" s="9">
        <f t="shared" si="111"/>
        <v>70000</v>
      </c>
      <c r="L674" s="7">
        <v>3</v>
      </c>
      <c r="M674" s="9">
        <f t="shared" si="112"/>
        <v>210000</v>
      </c>
      <c r="N674" s="9">
        <f t="shared" si="113"/>
        <v>126000</v>
      </c>
      <c r="O674" s="7" t="s">
        <v>1007</v>
      </c>
      <c r="P674" s="10">
        <f t="shared" si="114"/>
        <v>0</v>
      </c>
      <c r="Q674" s="9">
        <f t="shared" si="115"/>
        <v>0</v>
      </c>
      <c r="R674" s="9">
        <f t="shared" si="116"/>
        <v>5000</v>
      </c>
      <c r="S674" s="9" t="str">
        <f t="shared" si="117"/>
        <v>Loss</v>
      </c>
      <c r="T674" s="7" t="str">
        <f t="shared" si="118"/>
        <v>Jan</v>
      </c>
      <c r="U674" s="7">
        <f t="shared" si="119"/>
        <v>2025</v>
      </c>
      <c r="V674" s="7" t="str">
        <f t="shared" si="120"/>
        <v>45-50</v>
      </c>
    </row>
    <row r="675" spans="1:22" x14ac:dyDescent="0.3">
      <c r="A675" s="7" t="s">
        <v>692</v>
      </c>
      <c r="B675" s="8" t="s">
        <v>1696</v>
      </c>
      <c r="C675" s="8">
        <v>38</v>
      </c>
      <c r="D675" s="8" t="s">
        <v>720</v>
      </c>
      <c r="E675" s="8" t="s">
        <v>726</v>
      </c>
      <c r="F675" s="7" t="s">
        <v>1728</v>
      </c>
      <c r="G675" s="7" t="s">
        <v>959</v>
      </c>
      <c r="H675" s="7" t="s">
        <v>881</v>
      </c>
      <c r="I675" s="7" t="s">
        <v>904</v>
      </c>
      <c r="J675" s="7">
        <f t="shared" si="110"/>
        <v>4</v>
      </c>
      <c r="K675" s="9">
        <f t="shared" si="111"/>
        <v>18000</v>
      </c>
      <c r="L675" s="7">
        <v>3</v>
      </c>
      <c r="M675" s="9">
        <f t="shared" si="112"/>
        <v>54000</v>
      </c>
      <c r="N675" s="9">
        <f t="shared" si="113"/>
        <v>27000</v>
      </c>
      <c r="O675" s="7" t="s">
        <v>1007</v>
      </c>
      <c r="P675" s="10">
        <f t="shared" si="114"/>
        <v>0</v>
      </c>
      <c r="Q675" s="9">
        <f t="shared" si="115"/>
        <v>0</v>
      </c>
      <c r="R675" s="9">
        <f t="shared" si="116"/>
        <v>5000</v>
      </c>
      <c r="S675" s="9" t="str">
        <f t="shared" si="117"/>
        <v>Loss</v>
      </c>
      <c r="T675" s="7" t="str">
        <f t="shared" si="118"/>
        <v>Jul</v>
      </c>
      <c r="U675" s="7">
        <f t="shared" si="119"/>
        <v>2025</v>
      </c>
      <c r="V675" s="7" t="str">
        <f t="shared" si="120"/>
        <v>35-40</v>
      </c>
    </row>
    <row r="676" spans="1:22" x14ac:dyDescent="0.3">
      <c r="A676" s="7" t="s">
        <v>693</v>
      </c>
      <c r="B676" s="8" t="s">
        <v>1697</v>
      </c>
      <c r="C676" s="8">
        <v>50</v>
      </c>
      <c r="D676" s="8" t="s">
        <v>721</v>
      </c>
      <c r="E676" s="8" t="s">
        <v>724</v>
      </c>
      <c r="F676" s="7" t="s">
        <v>727</v>
      </c>
      <c r="G676" s="7" t="s">
        <v>737</v>
      </c>
      <c r="H676" s="7" t="s">
        <v>761</v>
      </c>
      <c r="I676" s="7" t="s">
        <v>788</v>
      </c>
      <c r="J676" s="7">
        <f t="shared" si="110"/>
        <v>10</v>
      </c>
      <c r="K676" s="9">
        <f t="shared" si="111"/>
        <v>120000</v>
      </c>
      <c r="L676" s="7">
        <v>2</v>
      </c>
      <c r="M676" s="9">
        <f t="shared" si="112"/>
        <v>240000</v>
      </c>
      <c r="N676" s="9">
        <f t="shared" si="113"/>
        <v>156000</v>
      </c>
      <c r="O676" s="7" t="s">
        <v>1006</v>
      </c>
      <c r="P676" s="10">
        <f t="shared" si="114"/>
        <v>0.15</v>
      </c>
      <c r="Q676" s="9">
        <f t="shared" si="115"/>
        <v>36000</v>
      </c>
      <c r="R676" s="9">
        <f t="shared" si="116"/>
        <v>204000</v>
      </c>
      <c r="S676" s="9" t="str">
        <f t="shared" si="117"/>
        <v>Profit</v>
      </c>
      <c r="T676" s="7" t="str">
        <f t="shared" si="118"/>
        <v>Jan</v>
      </c>
      <c r="U676" s="7">
        <f t="shared" si="119"/>
        <v>2025</v>
      </c>
      <c r="V676" s="7" t="str">
        <f t="shared" si="120"/>
        <v>50-55</v>
      </c>
    </row>
    <row r="677" spans="1:22" x14ac:dyDescent="0.3">
      <c r="A677" s="7" t="s">
        <v>694</v>
      </c>
      <c r="B677" s="8" t="s">
        <v>1698</v>
      </c>
      <c r="C677" s="8">
        <v>27</v>
      </c>
      <c r="D677" s="8" t="s">
        <v>720</v>
      </c>
      <c r="E677" s="8" t="s">
        <v>725</v>
      </c>
      <c r="F677" s="7" t="s">
        <v>1730</v>
      </c>
      <c r="G677" s="7" t="s">
        <v>791</v>
      </c>
      <c r="H677" s="7" t="s">
        <v>957</v>
      </c>
      <c r="I677" s="7" t="s">
        <v>877</v>
      </c>
      <c r="J677" s="7">
        <f t="shared" si="110"/>
        <v>8</v>
      </c>
      <c r="K677" s="9">
        <f t="shared" si="111"/>
        <v>80000</v>
      </c>
      <c r="L677" s="7">
        <v>4</v>
      </c>
      <c r="M677" s="9">
        <f t="shared" si="112"/>
        <v>320000</v>
      </c>
      <c r="N677" s="9">
        <f t="shared" si="113"/>
        <v>192000</v>
      </c>
      <c r="O677" s="7" t="s">
        <v>1006</v>
      </c>
      <c r="P677" s="10">
        <f t="shared" si="114"/>
        <v>0.12</v>
      </c>
      <c r="Q677" s="9">
        <f t="shared" si="115"/>
        <v>38400</v>
      </c>
      <c r="R677" s="9">
        <f t="shared" si="116"/>
        <v>281600</v>
      </c>
      <c r="S677" s="9" t="str">
        <f t="shared" si="117"/>
        <v>Profit</v>
      </c>
      <c r="T677" s="7" t="str">
        <f t="shared" si="118"/>
        <v>Jan</v>
      </c>
      <c r="U677" s="7">
        <f t="shared" si="119"/>
        <v>2025</v>
      </c>
      <c r="V677" s="7" t="str">
        <f t="shared" si="120"/>
        <v>25-30</v>
      </c>
    </row>
    <row r="678" spans="1:22" x14ac:dyDescent="0.3">
      <c r="A678" s="7" t="s">
        <v>695</v>
      </c>
      <c r="B678" s="8" t="s">
        <v>1699</v>
      </c>
      <c r="C678" s="8">
        <v>57</v>
      </c>
      <c r="D678" s="8" t="s">
        <v>721</v>
      </c>
      <c r="E678" s="8" t="s">
        <v>722</v>
      </c>
      <c r="F678" s="7" t="s">
        <v>735</v>
      </c>
      <c r="G678" s="7" t="s">
        <v>895</v>
      </c>
      <c r="H678" s="7" t="s">
        <v>974</v>
      </c>
      <c r="I678" s="7" t="s">
        <v>1005</v>
      </c>
      <c r="J678" s="7">
        <f t="shared" si="110"/>
        <v>5</v>
      </c>
      <c r="K678" s="9">
        <f t="shared" si="111"/>
        <v>60000</v>
      </c>
      <c r="L678" s="7">
        <v>3</v>
      </c>
      <c r="M678" s="9">
        <f t="shared" si="112"/>
        <v>180000</v>
      </c>
      <c r="N678" s="9">
        <f t="shared" si="113"/>
        <v>117000</v>
      </c>
      <c r="O678" s="7" t="s">
        <v>1007</v>
      </c>
      <c r="P678" s="10">
        <f t="shared" si="114"/>
        <v>0</v>
      </c>
      <c r="Q678" s="9">
        <f t="shared" si="115"/>
        <v>0</v>
      </c>
      <c r="R678" s="9">
        <f t="shared" si="116"/>
        <v>5000</v>
      </c>
      <c r="S678" s="9" t="str">
        <f t="shared" si="117"/>
        <v>Loss</v>
      </c>
      <c r="T678" s="7" t="str">
        <f t="shared" si="118"/>
        <v>Aug</v>
      </c>
      <c r="U678" s="7">
        <f t="shared" si="119"/>
        <v>2025</v>
      </c>
      <c r="V678" s="7" t="str">
        <f t="shared" si="120"/>
        <v>55-60</v>
      </c>
    </row>
    <row r="679" spans="1:22" x14ac:dyDescent="0.3">
      <c r="A679" s="7" t="s">
        <v>696</v>
      </c>
      <c r="B679" s="8" t="s">
        <v>1700</v>
      </c>
      <c r="C679" s="8">
        <v>58</v>
      </c>
      <c r="D679" s="8" t="s">
        <v>721</v>
      </c>
      <c r="E679" s="8" t="s">
        <v>723</v>
      </c>
      <c r="F679" s="7" t="s">
        <v>1730</v>
      </c>
      <c r="G679" s="7" t="s">
        <v>912</v>
      </c>
      <c r="H679" s="7" t="s">
        <v>846</v>
      </c>
      <c r="I679" s="7" t="s">
        <v>789</v>
      </c>
      <c r="J679" s="7">
        <f t="shared" si="110"/>
        <v>7</v>
      </c>
      <c r="K679" s="9">
        <f t="shared" si="111"/>
        <v>70000</v>
      </c>
      <c r="L679" s="7">
        <v>3</v>
      </c>
      <c r="M679" s="9">
        <f t="shared" si="112"/>
        <v>210000</v>
      </c>
      <c r="N679" s="9">
        <f t="shared" si="113"/>
        <v>126000</v>
      </c>
      <c r="O679" s="7" t="s">
        <v>1006</v>
      </c>
      <c r="P679" s="10">
        <f t="shared" si="114"/>
        <v>7.0000000000000007E-2</v>
      </c>
      <c r="Q679" s="9">
        <f t="shared" si="115"/>
        <v>14700.000000000002</v>
      </c>
      <c r="R679" s="9">
        <f t="shared" si="116"/>
        <v>195300</v>
      </c>
      <c r="S679" s="9" t="str">
        <f t="shared" si="117"/>
        <v>Profit</v>
      </c>
      <c r="T679" s="7" t="str">
        <f t="shared" si="118"/>
        <v>Apr</v>
      </c>
      <c r="U679" s="7">
        <f t="shared" si="119"/>
        <v>2025</v>
      </c>
      <c r="V679" s="7" t="str">
        <f t="shared" si="120"/>
        <v>55-60</v>
      </c>
    </row>
    <row r="680" spans="1:22" x14ac:dyDescent="0.3">
      <c r="A680" s="7" t="s">
        <v>697</v>
      </c>
      <c r="B680" s="8" t="s">
        <v>1701</v>
      </c>
      <c r="C680" s="8">
        <v>60</v>
      </c>
      <c r="D680" s="8" t="s">
        <v>720</v>
      </c>
      <c r="E680" s="8" t="s">
        <v>724</v>
      </c>
      <c r="F680" s="7" t="s">
        <v>1736</v>
      </c>
      <c r="G680" s="7" t="s">
        <v>780</v>
      </c>
      <c r="H680" s="7" t="s">
        <v>926</v>
      </c>
      <c r="I680" s="7" t="s">
        <v>941</v>
      </c>
      <c r="J680" s="7">
        <f t="shared" si="110"/>
        <v>10</v>
      </c>
      <c r="K680" s="9">
        <f t="shared" si="111"/>
        <v>120000</v>
      </c>
      <c r="L680" s="7">
        <v>4</v>
      </c>
      <c r="M680" s="9">
        <f t="shared" si="112"/>
        <v>480000</v>
      </c>
      <c r="N680" s="9">
        <f t="shared" si="113"/>
        <v>312000</v>
      </c>
      <c r="O680" s="7" t="s">
        <v>1007</v>
      </c>
      <c r="P680" s="10">
        <f t="shared" si="114"/>
        <v>0</v>
      </c>
      <c r="Q680" s="9">
        <f t="shared" si="115"/>
        <v>0</v>
      </c>
      <c r="R680" s="9">
        <f t="shared" si="116"/>
        <v>5000</v>
      </c>
      <c r="S680" s="9" t="str">
        <f t="shared" si="117"/>
        <v>Loss</v>
      </c>
      <c r="T680" s="7" t="str">
        <f t="shared" si="118"/>
        <v>Jul</v>
      </c>
      <c r="U680" s="7">
        <f t="shared" si="119"/>
        <v>2025</v>
      </c>
      <c r="V680" s="7" t="str">
        <f t="shared" si="120"/>
        <v>60-65</v>
      </c>
    </row>
    <row r="681" spans="1:22" x14ac:dyDescent="0.3">
      <c r="A681" s="7" t="s">
        <v>698</v>
      </c>
      <c r="B681" s="8" t="s">
        <v>1702</v>
      </c>
      <c r="C681" s="8">
        <v>58</v>
      </c>
      <c r="D681" s="8" t="s">
        <v>720</v>
      </c>
      <c r="E681" s="8" t="s">
        <v>724</v>
      </c>
      <c r="F681" s="7" t="s">
        <v>727</v>
      </c>
      <c r="G681" s="7" t="s">
        <v>758</v>
      </c>
      <c r="H681" s="7" t="s">
        <v>828</v>
      </c>
      <c r="I681" s="7" t="s">
        <v>986</v>
      </c>
      <c r="J681" s="7">
        <f t="shared" si="110"/>
        <v>10</v>
      </c>
      <c r="K681" s="9">
        <f t="shared" si="111"/>
        <v>120000</v>
      </c>
      <c r="L681" s="7">
        <v>1</v>
      </c>
      <c r="M681" s="9">
        <f t="shared" si="112"/>
        <v>120000</v>
      </c>
      <c r="N681" s="9">
        <f t="shared" si="113"/>
        <v>78000</v>
      </c>
      <c r="O681" s="7" t="s">
        <v>1007</v>
      </c>
      <c r="P681" s="10">
        <f t="shared" si="114"/>
        <v>0</v>
      </c>
      <c r="Q681" s="9">
        <f t="shared" si="115"/>
        <v>0</v>
      </c>
      <c r="R681" s="9">
        <f t="shared" si="116"/>
        <v>5000</v>
      </c>
      <c r="S681" s="9" t="str">
        <f t="shared" si="117"/>
        <v>Loss</v>
      </c>
      <c r="T681" s="7" t="str">
        <f t="shared" si="118"/>
        <v>Jan</v>
      </c>
      <c r="U681" s="7">
        <f t="shared" si="119"/>
        <v>2025</v>
      </c>
      <c r="V681" s="7" t="str">
        <f t="shared" si="120"/>
        <v>55-60</v>
      </c>
    </row>
    <row r="682" spans="1:22" x14ac:dyDescent="0.3">
      <c r="A682" s="7" t="s">
        <v>699</v>
      </c>
      <c r="B682" s="8" t="s">
        <v>1703</v>
      </c>
      <c r="C682" s="8">
        <v>30</v>
      </c>
      <c r="D682" s="8" t="s">
        <v>720</v>
      </c>
      <c r="E682" s="8" t="s">
        <v>724</v>
      </c>
      <c r="F682" s="7" t="s">
        <v>735</v>
      </c>
      <c r="G682" s="7" t="s">
        <v>819</v>
      </c>
      <c r="H682" s="7" t="s">
        <v>986</v>
      </c>
      <c r="I682" s="7" t="s">
        <v>851</v>
      </c>
      <c r="J682" s="7">
        <f t="shared" si="110"/>
        <v>10</v>
      </c>
      <c r="K682" s="9">
        <f t="shared" si="111"/>
        <v>120000</v>
      </c>
      <c r="L682" s="7">
        <v>3</v>
      </c>
      <c r="M682" s="9">
        <f t="shared" si="112"/>
        <v>360000</v>
      </c>
      <c r="N682" s="9">
        <f t="shared" si="113"/>
        <v>234000</v>
      </c>
      <c r="O682" s="7" t="s">
        <v>1007</v>
      </c>
      <c r="P682" s="10">
        <f t="shared" si="114"/>
        <v>0</v>
      </c>
      <c r="Q682" s="9">
        <f t="shared" si="115"/>
        <v>0</v>
      </c>
      <c r="R682" s="9">
        <f t="shared" si="116"/>
        <v>5000</v>
      </c>
      <c r="S682" s="9" t="str">
        <f t="shared" si="117"/>
        <v>Loss</v>
      </c>
      <c r="T682" s="7" t="str">
        <f t="shared" si="118"/>
        <v>Jan</v>
      </c>
      <c r="U682" s="7">
        <f t="shared" si="119"/>
        <v>2025</v>
      </c>
      <c r="V682" s="7" t="str">
        <f t="shared" si="120"/>
        <v>30-35</v>
      </c>
    </row>
    <row r="683" spans="1:22" x14ac:dyDescent="0.3">
      <c r="A683" s="7" t="s">
        <v>700</v>
      </c>
      <c r="B683" s="8" t="s">
        <v>1704</v>
      </c>
      <c r="C683" s="8">
        <v>41</v>
      </c>
      <c r="D683" s="8" t="s">
        <v>720</v>
      </c>
      <c r="E683" s="8" t="s">
        <v>726</v>
      </c>
      <c r="F683" s="7" t="s">
        <v>1727</v>
      </c>
      <c r="G683" s="7" t="s">
        <v>882</v>
      </c>
      <c r="H683" s="7" t="s">
        <v>975</v>
      </c>
      <c r="I683" s="7" t="s">
        <v>771</v>
      </c>
      <c r="J683" s="7">
        <f t="shared" si="110"/>
        <v>4</v>
      </c>
      <c r="K683" s="9">
        <f t="shared" si="111"/>
        <v>18000</v>
      </c>
      <c r="L683" s="7">
        <v>2</v>
      </c>
      <c r="M683" s="9">
        <f t="shared" si="112"/>
        <v>36000</v>
      </c>
      <c r="N683" s="9">
        <f t="shared" si="113"/>
        <v>18000</v>
      </c>
      <c r="O683" s="7" t="s">
        <v>1006</v>
      </c>
      <c r="P683" s="10">
        <f t="shared" si="114"/>
        <v>0.05</v>
      </c>
      <c r="Q683" s="9">
        <f t="shared" si="115"/>
        <v>1800</v>
      </c>
      <c r="R683" s="9">
        <f t="shared" si="116"/>
        <v>34200</v>
      </c>
      <c r="S683" s="9" t="str">
        <f t="shared" si="117"/>
        <v>Profit</v>
      </c>
      <c r="T683" s="7" t="str">
        <f t="shared" si="118"/>
        <v>Feb</v>
      </c>
      <c r="U683" s="7">
        <f t="shared" si="119"/>
        <v>2025</v>
      </c>
      <c r="V683" s="7" t="str">
        <f t="shared" si="120"/>
        <v>40-45</v>
      </c>
    </row>
    <row r="684" spans="1:22" x14ac:dyDescent="0.3">
      <c r="A684" s="7" t="s">
        <v>701</v>
      </c>
      <c r="B684" s="8" t="s">
        <v>1705</v>
      </c>
      <c r="C684" s="8">
        <v>25</v>
      </c>
      <c r="D684" s="8" t="s">
        <v>721</v>
      </c>
      <c r="E684" s="8" t="s">
        <v>726</v>
      </c>
      <c r="F684" s="7" t="s">
        <v>1733</v>
      </c>
      <c r="G684" s="7" t="s">
        <v>765</v>
      </c>
      <c r="H684" s="7" t="s">
        <v>783</v>
      </c>
      <c r="I684" s="7" t="s">
        <v>829</v>
      </c>
      <c r="J684" s="7">
        <f t="shared" si="110"/>
        <v>4</v>
      </c>
      <c r="K684" s="9">
        <f t="shared" si="111"/>
        <v>18000</v>
      </c>
      <c r="L684" s="7">
        <v>1</v>
      </c>
      <c r="M684" s="9">
        <f t="shared" si="112"/>
        <v>18000</v>
      </c>
      <c r="N684" s="9">
        <f t="shared" si="113"/>
        <v>9000</v>
      </c>
      <c r="O684" s="7" t="s">
        <v>1006</v>
      </c>
      <c r="P684" s="10">
        <f t="shared" si="114"/>
        <v>0.05</v>
      </c>
      <c r="Q684" s="9">
        <f t="shared" si="115"/>
        <v>900</v>
      </c>
      <c r="R684" s="9">
        <f t="shared" si="116"/>
        <v>17100</v>
      </c>
      <c r="S684" s="9" t="str">
        <f t="shared" si="117"/>
        <v>Profit</v>
      </c>
      <c r="T684" s="7" t="str">
        <f t="shared" si="118"/>
        <v>Jun</v>
      </c>
      <c r="U684" s="7">
        <f t="shared" si="119"/>
        <v>2025</v>
      </c>
      <c r="V684" s="7" t="str">
        <f t="shared" si="120"/>
        <v>25-30</v>
      </c>
    </row>
    <row r="685" spans="1:22" x14ac:dyDescent="0.3">
      <c r="A685" s="7" t="s">
        <v>702</v>
      </c>
      <c r="B685" s="8" t="s">
        <v>1706</v>
      </c>
      <c r="C685" s="8">
        <v>57</v>
      </c>
      <c r="D685" s="8" t="s">
        <v>720</v>
      </c>
      <c r="E685" s="8" t="s">
        <v>722</v>
      </c>
      <c r="F685" s="7" t="s">
        <v>729</v>
      </c>
      <c r="G685" s="7" t="s">
        <v>771</v>
      </c>
      <c r="H685" s="7" t="s">
        <v>948</v>
      </c>
      <c r="I685" s="7" t="s">
        <v>907</v>
      </c>
      <c r="J685" s="7">
        <f t="shared" si="110"/>
        <v>5</v>
      </c>
      <c r="K685" s="9">
        <f t="shared" si="111"/>
        <v>60000</v>
      </c>
      <c r="L685" s="7">
        <v>2</v>
      </c>
      <c r="M685" s="9">
        <f>K685*L685</f>
        <v>120000</v>
      </c>
      <c r="N685" s="9">
        <f t="shared" si="113"/>
        <v>78000</v>
      </c>
      <c r="O685" s="7" t="s">
        <v>1006</v>
      </c>
      <c r="P685" s="10">
        <f t="shared" si="114"/>
        <v>0.1</v>
      </c>
      <c r="Q685" s="9">
        <f t="shared" si="115"/>
        <v>12000</v>
      </c>
      <c r="R685" s="9">
        <f t="shared" si="116"/>
        <v>108000</v>
      </c>
      <c r="S685" s="9" t="str">
        <f t="shared" si="117"/>
        <v>Profit</v>
      </c>
      <c r="T685" s="7" t="str">
        <f t="shared" si="118"/>
        <v>Mar</v>
      </c>
      <c r="U685" s="7">
        <f t="shared" si="119"/>
        <v>2025</v>
      </c>
      <c r="V685" s="7" t="str">
        <f t="shared" si="120"/>
        <v>55-60</v>
      </c>
    </row>
    <row r="686" spans="1:22" x14ac:dyDescent="0.3">
      <c r="A686" s="7" t="s">
        <v>703</v>
      </c>
      <c r="B686" s="8" t="s">
        <v>1707</v>
      </c>
      <c r="C686" s="8">
        <v>25</v>
      </c>
      <c r="D686" s="8" t="s">
        <v>721</v>
      </c>
      <c r="E686" s="8" t="s">
        <v>724</v>
      </c>
      <c r="F686" s="7" t="s">
        <v>734</v>
      </c>
      <c r="G686" s="7" t="s">
        <v>900</v>
      </c>
      <c r="H686" s="7" t="s">
        <v>998</v>
      </c>
      <c r="I686" s="7" t="s">
        <v>981</v>
      </c>
      <c r="J686" s="7">
        <f t="shared" si="110"/>
        <v>10</v>
      </c>
      <c r="K686" s="9">
        <f t="shared" si="111"/>
        <v>120000</v>
      </c>
      <c r="L686" s="7">
        <v>1</v>
      </c>
      <c r="M686" s="9">
        <f t="shared" si="112"/>
        <v>120000</v>
      </c>
      <c r="N686" s="9">
        <f t="shared" si="113"/>
        <v>78000</v>
      </c>
      <c r="O686" s="7" t="s">
        <v>1007</v>
      </c>
      <c r="P686" s="10">
        <f t="shared" si="114"/>
        <v>0</v>
      </c>
      <c r="Q686" s="9">
        <f t="shared" si="115"/>
        <v>0</v>
      </c>
      <c r="R686" s="9">
        <f t="shared" si="116"/>
        <v>5000</v>
      </c>
      <c r="S686" s="9" t="str">
        <f t="shared" si="117"/>
        <v>Loss</v>
      </c>
      <c r="T686" s="7" t="str">
        <f t="shared" si="118"/>
        <v>Aug</v>
      </c>
      <c r="U686" s="7">
        <f t="shared" si="119"/>
        <v>2025</v>
      </c>
      <c r="V686" s="7" t="str">
        <f t="shared" si="120"/>
        <v>25-30</v>
      </c>
    </row>
    <row r="687" spans="1:22" x14ac:dyDescent="0.3">
      <c r="A687" s="7" t="s">
        <v>704</v>
      </c>
      <c r="B687" s="8" t="s">
        <v>1708</v>
      </c>
      <c r="C687" s="8">
        <v>22</v>
      </c>
      <c r="D687" s="8" t="s">
        <v>721</v>
      </c>
      <c r="E687" s="8" t="s">
        <v>724</v>
      </c>
      <c r="F687" s="7" t="s">
        <v>735</v>
      </c>
      <c r="G687" s="7" t="s">
        <v>898</v>
      </c>
      <c r="H687" s="7" t="s">
        <v>941</v>
      </c>
      <c r="I687" s="7" t="s">
        <v>830</v>
      </c>
      <c r="J687" s="7">
        <f t="shared" si="110"/>
        <v>10</v>
      </c>
      <c r="K687" s="9">
        <f t="shared" si="111"/>
        <v>120000</v>
      </c>
      <c r="L687" s="7">
        <v>1</v>
      </c>
      <c r="M687" s="9">
        <f t="shared" si="112"/>
        <v>120000</v>
      </c>
      <c r="N687" s="9">
        <f t="shared" si="113"/>
        <v>78000</v>
      </c>
      <c r="O687" s="7" t="s">
        <v>1006</v>
      </c>
      <c r="P687" s="10">
        <f t="shared" si="114"/>
        <v>0.15</v>
      </c>
      <c r="Q687" s="9">
        <f t="shared" si="115"/>
        <v>18000</v>
      </c>
      <c r="R687" s="9">
        <f t="shared" si="116"/>
        <v>102000</v>
      </c>
      <c r="S687" s="9" t="str">
        <f t="shared" si="117"/>
        <v>Profit</v>
      </c>
      <c r="T687" s="7" t="str">
        <f t="shared" si="118"/>
        <v>Aug</v>
      </c>
      <c r="U687" s="7">
        <f t="shared" si="119"/>
        <v>2025</v>
      </c>
      <c r="V687" s="7" t="str">
        <f t="shared" si="120"/>
        <v>20-25</v>
      </c>
    </row>
    <row r="688" spans="1:22" x14ac:dyDescent="0.3">
      <c r="A688" s="7" t="s">
        <v>705</v>
      </c>
      <c r="B688" s="8" t="s">
        <v>1709</v>
      </c>
      <c r="C688" s="8">
        <v>37</v>
      </c>
      <c r="D688" s="8" t="s">
        <v>721</v>
      </c>
      <c r="E688" s="8" t="s">
        <v>723</v>
      </c>
      <c r="F688" s="7" t="s">
        <v>731</v>
      </c>
      <c r="G688" s="7" t="s">
        <v>747</v>
      </c>
      <c r="H688" s="7" t="s">
        <v>812</v>
      </c>
      <c r="I688" s="7" t="s">
        <v>865</v>
      </c>
      <c r="J688" s="7">
        <f t="shared" si="110"/>
        <v>7</v>
      </c>
      <c r="K688" s="9">
        <f t="shared" si="111"/>
        <v>70000</v>
      </c>
      <c r="L688" s="7">
        <v>2</v>
      </c>
      <c r="M688" s="9">
        <f t="shared" si="112"/>
        <v>140000</v>
      </c>
      <c r="N688" s="9">
        <f t="shared" si="113"/>
        <v>84000</v>
      </c>
      <c r="O688" s="7" t="s">
        <v>1006</v>
      </c>
      <c r="P688" s="10">
        <f t="shared" si="114"/>
        <v>7.0000000000000007E-2</v>
      </c>
      <c r="Q688" s="9">
        <f t="shared" si="115"/>
        <v>9800.0000000000018</v>
      </c>
      <c r="R688" s="9">
        <f t="shared" si="116"/>
        <v>130200</v>
      </c>
      <c r="S688" s="9" t="str">
        <f t="shared" si="117"/>
        <v>Profit</v>
      </c>
      <c r="T688" s="7" t="str">
        <f t="shared" si="118"/>
        <v>Jun</v>
      </c>
      <c r="U688" s="7">
        <f t="shared" si="119"/>
        <v>2025</v>
      </c>
      <c r="V688" s="7" t="str">
        <f t="shared" si="120"/>
        <v>35-40</v>
      </c>
    </row>
    <row r="689" spans="1:22" x14ac:dyDescent="0.3">
      <c r="A689" s="7" t="s">
        <v>706</v>
      </c>
      <c r="B689" s="8" t="s">
        <v>1710</v>
      </c>
      <c r="C689" s="8">
        <v>52</v>
      </c>
      <c r="D689" s="8" t="s">
        <v>721</v>
      </c>
      <c r="E689" s="8" t="s">
        <v>726</v>
      </c>
      <c r="F689" s="7" t="s">
        <v>1733</v>
      </c>
      <c r="G689" s="7" t="s">
        <v>888</v>
      </c>
      <c r="H689" s="7" t="s">
        <v>870</v>
      </c>
      <c r="I689" s="7" t="s">
        <v>928</v>
      </c>
      <c r="J689" s="7">
        <f t="shared" si="110"/>
        <v>4</v>
      </c>
      <c r="K689" s="9">
        <f t="shared" si="111"/>
        <v>18000</v>
      </c>
      <c r="L689" s="7">
        <v>1</v>
      </c>
      <c r="M689" s="9">
        <f t="shared" si="112"/>
        <v>18000</v>
      </c>
      <c r="N689" s="9">
        <f t="shared" si="113"/>
        <v>9000</v>
      </c>
      <c r="O689" s="7" t="s">
        <v>1006</v>
      </c>
      <c r="P689" s="10">
        <f t="shared" si="114"/>
        <v>0.05</v>
      </c>
      <c r="Q689" s="9">
        <f t="shared" si="115"/>
        <v>900</v>
      </c>
      <c r="R689" s="9">
        <f t="shared" si="116"/>
        <v>17100</v>
      </c>
      <c r="S689" s="9" t="str">
        <f t="shared" si="117"/>
        <v>Profit</v>
      </c>
      <c r="T689" s="7" t="str">
        <f t="shared" si="118"/>
        <v>Mar</v>
      </c>
      <c r="U689" s="7">
        <f t="shared" si="119"/>
        <v>2025</v>
      </c>
      <c r="V689" s="7" t="str">
        <f t="shared" si="120"/>
        <v>50-55</v>
      </c>
    </row>
    <row r="690" spans="1:22" x14ac:dyDescent="0.3">
      <c r="A690" s="7" t="s">
        <v>707</v>
      </c>
      <c r="B690" s="8" t="s">
        <v>1711</v>
      </c>
      <c r="C690" s="8">
        <v>43</v>
      </c>
      <c r="D690" s="8" t="s">
        <v>720</v>
      </c>
      <c r="E690" s="8" t="s">
        <v>726</v>
      </c>
      <c r="F690" s="7" t="s">
        <v>1731</v>
      </c>
      <c r="G690" s="7" t="s">
        <v>860</v>
      </c>
      <c r="H690" s="7" t="s">
        <v>850</v>
      </c>
      <c r="I690" s="7" t="s">
        <v>824</v>
      </c>
      <c r="J690" s="7">
        <f t="shared" si="110"/>
        <v>4</v>
      </c>
      <c r="K690" s="9">
        <f t="shared" si="111"/>
        <v>18000</v>
      </c>
      <c r="L690" s="7">
        <v>3</v>
      </c>
      <c r="M690" s="9">
        <f t="shared" si="112"/>
        <v>54000</v>
      </c>
      <c r="N690" s="9">
        <f t="shared" si="113"/>
        <v>27000</v>
      </c>
      <c r="O690" s="7" t="s">
        <v>1006</v>
      </c>
      <c r="P690" s="10">
        <f t="shared" si="114"/>
        <v>0.05</v>
      </c>
      <c r="Q690" s="9">
        <f t="shared" si="115"/>
        <v>2700</v>
      </c>
      <c r="R690" s="9">
        <f t="shared" si="116"/>
        <v>51300</v>
      </c>
      <c r="S690" s="9" t="str">
        <f t="shared" si="117"/>
        <v>Profit</v>
      </c>
      <c r="T690" s="7" t="str">
        <f t="shared" si="118"/>
        <v>Apr</v>
      </c>
      <c r="U690" s="7">
        <f t="shared" si="119"/>
        <v>2025</v>
      </c>
      <c r="V690" s="7" t="str">
        <f t="shared" si="120"/>
        <v>40-45</v>
      </c>
    </row>
    <row r="691" spans="1:22" x14ac:dyDescent="0.3">
      <c r="A691" s="7" t="s">
        <v>708</v>
      </c>
      <c r="B691" s="8" t="s">
        <v>1712</v>
      </c>
      <c r="C691" s="8">
        <v>43</v>
      </c>
      <c r="D691" s="8" t="s">
        <v>720</v>
      </c>
      <c r="E691" s="8" t="s">
        <v>723</v>
      </c>
      <c r="F691" s="7" t="s">
        <v>730</v>
      </c>
      <c r="G691" s="7" t="s">
        <v>962</v>
      </c>
      <c r="H691" s="7" t="s">
        <v>979</v>
      </c>
      <c r="I691" s="7" t="s">
        <v>810</v>
      </c>
      <c r="J691" s="7">
        <f t="shared" si="110"/>
        <v>7</v>
      </c>
      <c r="K691" s="9">
        <f t="shared" si="111"/>
        <v>70000</v>
      </c>
      <c r="L691" s="7">
        <v>2</v>
      </c>
      <c r="M691" s="9">
        <f>K691*L691</f>
        <v>140000</v>
      </c>
      <c r="N691" s="9">
        <f t="shared" si="113"/>
        <v>84000</v>
      </c>
      <c r="O691" s="7" t="s">
        <v>1006</v>
      </c>
      <c r="P691" s="10">
        <f t="shared" si="114"/>
        <v>7.0000000000000007E-2</v>
      </c>
      <c r="Q691" s="9">
        <f t="shared" si="115"/>
        <v>9800.0000000000018</v>
      </c>
      <c r="R691" s="9">
        <f t="shared" si="116"/>
        <v>130200</v>
      </c>
      <c r="S691" s="9" t="str">
        <f t="shared" si="117"/>
        <v>Profit</v>
      </c>
      <c r="T691" s="7" t="str">
        <f t="shared" si="118"/>
        <v>Jun</v>
      </c>
      <c r="U691" s="7">
        <f t="shared" si="119"/>
        <v>2025</v>
      </c>
      <c r="V691" s="7" t="str">
        <f t="shared" si="120"/>
        <v>40-45</v>
      </c>
    </row>
    <row r="692" spans="1:22" x14ac:dyDescent="0.3">
      <c r="A692" s="7" t="s">
        <v>709</v>
      </c>
      <c r="B692" s="8" t="s">
        <v>1713</v>
      </c>
      <c r="C692" s="8">
        <v>33</v>
      </c>
      <c r="D692" s="8" t="s">
        <v>721</v>
      </c>
      <c r="E692" s="8" t="s">
        <v>726</v>
      </c>
      <c r="F692" s="7" t="s">
        <v>1732</v>
      </c>
      <c r="G692" s="7" t="s">
        <v>963</v>
      </c>
      <c r="H692" s="7" t="s">
        <v>757</v>
      </c>
      <c r="I692" s="7" t="s">
        <v>891</v>
      </c>
      <c r="J692" s="7">
        <f t="shared" si="110"/>
        <v>4</v>
      </c>
      <c r="K692" s="9">
        <f t="shared" si="111"/>
        <v>18000</v>
      </c>
      <c r="L692" s="7">
        <v>4</v>
      </c>
      <c r="M692" s="9">
        <f t="shared" si="112"/>
        <v>72000</v>
      </c>
      <c r="N692" s="9">
        <f t="shared" si="113"/>
        <v>36000</v>
      </c>
      <c r="O692" s="7" t="s">
        <v>1007</v>
      </c>
      <c r="P692" s="10">
        <f t="shared" si="114"/>
        <v>0</v>
      </c>
      <c r="Q692" s="9">
        <f t="shared" si="115"/>
        <v>0</v>
      </c>
      <c r="R692" s="9">
        <f t="shared" si="116"/>
        <v>5000</v>
      </c>
      <c r="S692" s="9" t="str">
        <f t="shared" si="117"/>
        <v>Loss</v>
      </c>
      <c r="T692" s="7" t="str">
        <f t="shared" si="118"/>
        <v>May</v>
      </c>
      <c r="U692" s="7">
        <f t="shared" si="119"/>
        <v>2025</v>
      </c>
      <c r="V692" s="7" t="str">
        <f t="shared" si="120"/>
        <v>30-35</v>
      </c>
    </row>
    <row r="693" spans="1:22" x14ac:dyDescent="0.3">
      <c r="A693" s="7" t="s">
        <v>710</v>
      </c>
      <c r="B693" s="8" t="s">
        <v>1714</v>
      </c>
      <c r="C693" s="8">
        <v>58</v>
      </c>
      <c r="D693" s="8" t="s">
        <v>721</v>
      </c>
      <c r="E693" s="8" t="s">
        <v>724</v>
      </c>
      <c r="F693" s="7" t="s">
        <v>1735</v>
      </c>
      <c r="G693" s="7" t="s">
        <v>850</v>
      </c>
      <c r="H693" s="7" t="s">
        <v>824</v>
      </c>
      <c r="I693" s="7" t="s">
        <v>800</v>
      </c>
      <c r="J693" s="7">
        <f t="shared" si="110"/>
        <v>10</v>
      </c>
      <c r="K693" s="9">
        <f t="shared" si="111"/>
        <v>120000</v>
      </c>
      <c r="L693" s="7">
        <v>1</v>
      </c>
      <c r="M693" s="9">
        <f t="shared" si="112"/>
        <v>120000</v>
      </c>
      <c r="N693" s="9">
        <f t="shared" si="113"/>
        <v>78000</v>
      </c>
      <c r="O693" s="7" t="s">
        <v>1007</v>
      </c>
      <c r="P693" s="10">
        <f t="shared" si="114"/>
        <v>0</v>
      </c>
      <c r="Q693" s="9">
        <f t="shared" si="115"/>
        <v>0</v>
      </c>
      <c r="R693" s="9">
        <f t="shared" si="116"/>
        <v>5000</v>
      </c>
      <c r="S693" s="9" t="str">
        <f t="shared" si="117"/>
        <v>Loss</v>
      </c>
      <c r="T693" s="7" t="str">
        <f t="shared" si="118"/>
        <v>May</v>
      </c>
      <c r="U693" s="7">
        <f t="shared" si="119"/>
        <v>2025</v>
      </c>
      <c r="V693" s="7" t="str">
        <f t="shared" si="120"/>
        <v>55-60</v>
      </c>
    </row>
    <row r="694" spans="1:22" x14ac:dyDescent="0.3">
      <c r="A694" s="7" t="s">
        <v>711</v>
      </c>
      <c r="B694" s="8" t="s">
        <v>1715</v>
      </c>
      <c r="C694" s="8">
        <v>31</v>
      </c>
      <c r="D694" s="8" t="s">
        <v>720</v>
      </c>
      <c r="E694" s="8" t="s">
        <v>725</v>
      </c>
      <c r="F694" s="7" t="s">
        <v>732</v>
      </c>
      <c r="G694" s="7" t="s">
        <v>957</v>
      </c>
      <c r="H694" s="7" t="s">
        <v>813</v>
      </c>
      <c r="I694" s="7" t="s">
        <v>771</v>
      </c>
      <c r="J694" s="7">
        <f t="shared" si="110"/>
        <v>8</v>
      </c>
      <c r="K694" s="9">
        <f t="shared" si="111"/>
        <v>80000</v>
      </c>
      <c r="L694" s="7">
        <v>2</v>
      </c>
      <c r="M694" s="9">
        <f t="shared" si="112"/>
        <v>160000</v>
      </c>
      <c r="N694" s="9">
        <f t="shared" si="113"/>
        <v>96000</v>
      </c>
      <c r="O694" s="7" t="s">
        <v>1006</v>
      </c>
      <c r="P694" s="10">
        <f t="shared" si="114"/>
        <v>0.12</v>
      </c>
      <c r="Q694" s="9">
        <f t="shared" si="115"/>
        <v>19200</v>
      </c>
      <c r="R694" s="9">
        <f t="shared" si="116"/>
        <v>140800</v>
      </c>
      <c r="S694" s="9" t="str">
        <f t="shared" si="117"/>
        <v>Profit</v>
      </c>
      <c r="T694" s="7" t="str">
        <f t="shared" si="118"/>
        <v>Feb</v>
      </c>
      <c r="U694" s="7">
        <f t="shared" si="119"/>
        <v>2025</v>
      </c>
      <c r="V694" s="7" t="str">
        <f t="shared" si="120"/>
        <v>30-35</v>
      </c>
    </row>
    <row r="695" spans="1:22" x14ac:dyDescent="0.3">
      <c r="A695" s="7" t="s">
        <v>712</v>
      </c>
      <c r="B695" s="8" t="s">
        <v>1716</v>
      </c>
      <c r="C695" s="8">
        <v>20</v>
      </c>
      <c r="D695" s="8" t="s">
        <v>720</v>
      </c>
      <c r="E695" s="8" t="s">
        <v>726</v>
      </c>
      <c r="F695" s="7" t="s">
        <v>1730</v>
      </c>
      <c r="G695" s="7" t="s">
        <v>776</v>
      </c>
      <c r="H695" s="7" t="s">
        <v>916</v>
      </c>
      <c r="I695" s="7" t="s">
        <v>843</v>
      </c>
      <c r="J695" s="7">
        <f t="shared" si="110"/>
        <v>4</v>
      </c>
      <c r="K695" s="9">
        <f t="shared" si="111"/>
        <v>18000</v>
      </c>
      <c r="L695" s="7">
        <v>1</v>
      </c>
      <c r="M695" s="9">
        <f t="shared" si="112"/>
        <v>18000</v>
      </c>
      <c r="N695" s="9">
        <f t="shared" si="113"/>
        <v>9000</v>
      </c>
      <c r="O695" s="7" t="s">
        <v>1006</v>
      </c>
      <c r="P695" s="10">
        <f t="shared" si="114"/>
        <v>0.05</v>
      </c>
      <c r="Q695" s="9">
        <f t="shared" si="115"/>
        <v>900</v>
      </c>
      <c r="R695" s="9">
        <f t="shared" si="116"/>
        <v>17100</v>
      </c>
      <c r="S695" s="9" t="str">
        <f t="shared" si="117"/>
        <v>Profit</v>
      </c>
      <c r="T695" s="7" t="str">
        <f t="shared" si="118"/>
        <v>May</v>
      </c>
      <c r="U695" s="7">
        <f t="shared" si="119"/>
        <v>2025</v>
      </c>
      <c r="V695" s="7" t="str">
        <f t="shared" si="120"/>
        <v>20-25</v>
      </c>
    </row>
    <row r="696" spans="1:22" x14ac:dyDescent="0.3">
      <c r="A696" s="7" t="s">
        <v>713</v>
      </c>
      <c r="B696" s="8" t="s">
        <v>1717</v>
      </c>
      <c r="C696" s="8">
        <v>58</v>
      </c>
      <c r="D696" s="8" t="s">
        <v>720</v>
      </c>
      <c r="E696" s="8" t="s">
        <v>722</v>
      </c>
      <c r="F696" s="7" t="s">
        <v>728</v>
      </c>
      <c r="G696" s="7" t="s">
        <v>929</v>
      </c>
      <c r="H696" s="7" t="s">
        <v>811</v>
      </c>
      <c r="I696" s="7" t="s">
        <v>905</v>
      </c>
      <c r="J696" s="7">
        <f t="shared" si="110"/>
        <v>5</v>
      </c>
      <c r="K696" s="9">
        <f t="shared" si="111"/>
        <v>60000</v>
      </c>
      <c r="L696" s="7">
        <v>2</v>
      </c>
      <c r="M696" s="9">
        <f t="shared" si="112"/>
        <v>120000</v>
      </c>
      <c r="N696" s="9">
        <f t="shared" si="113"/>
        <v>78000</v>
      </c>
      <c r="O696" s="7" t="s">
        <v>1007</v>
      </c>
      <c r="P696" s="10">
        <f t="shared" si="114"/>
        <v>0</v>
      </c>
      <c r="Q696" s="9">
        <f t="shared" si="115"/>
        <v>0</v>
      </c>
      <c r="R696" s="9">
        <f t="shared" si="116"/>
        <v>5000</v>
      </c>
      <c r="S696" s="9" t="str">
        <f t="shared" si="117"/>
        <v>Loss</v>
      </c>
      <c r="T696" s="7" t="str">
        <f t="shared" si="118"/>
        <v>Aug</v>
      </c>
      <c r="U696" s="7">
        <f t="shared" si="119"/>
        <v>2025</v>
      </c>
      <c r="V696" s="7" t="str">
        <f t="shared" si="120"/>
        <v>55-60</v>
      </c>
    </row>
    <row r="697" spans="1:22" x14ac:dyDescent="0.3">
      <c r="A697" s="7" t="s">
        <v>714</v>
      </c>
      <c r="B697" s="8" t="s">
        <v>1718</v>
      </c>
      <c r="C697" s="8">
        <v>26</v>
      </c>
      <c r="D697" s="8" t="s">
        <v>720</v>
      </c>
      <c r="E697" s="8" t="s">
        <v>725</v>
      </c>
      <c r="F697" s="7" t="s">
        <v>728</v>
      </c>
      <c r="G697" s="7" t="s">
        <v>778</v>
      </c>
      <c r="H697" s="7" t="s">
        <v>903</v>
      </c>
      <c r="I697" s="7" t="s">
        <v>990</v>
      </c>
      <c r="J697" s="7">
        <f t="shared" si="110"/>
        <v>8</v>
      </c>
      <c r="K697" s="9">
        <f t="shared" si="111"/>
        <v>80000</v>
      </c>
      <c r="L697" s="7">
        <v>2</v>
      </c>
      <c r="M697" s="9">
        <f t="shared" si="112"/>
        <v>160000</v>
      </c>
      <c r="N697" s="9">
        <f t="shared" si="113"/>
        <v>96000</v>
      </c>
      <c r="O697" s="7" t="s">
        <v>1007</v>
      </c>
      <c r="P697" s="10">
        <f t="shared" si="114"/>
        <v>0</v>
      </c>
      <c r="Q697" s="9">
        <f t="shared" si="115"/>
        <v>0</v>
      </c>
      <c r="R697" s="9">
        <f t="shared" si="116"/>
        <v>5000</v>
      </c>
      <c r="S697" s="9" t="str">
        <f t="shared" si="117"/>
        <v>Loss</v>
      </c>
      <c r="T697" s="7" t="str">
        <f t="shared" si="118"/>
        <v>Apr</v>
      </c>
      <c r="U697" s="7">
        <f t="shared" si="119"/>
        <v>2025</v>
      </c>
      <c r="V697" s="7" t="str">
        <f t="shared" si="120"/>
        <v>25-30</v>
      </c>
    </row>
    <row r="698" spans="1:22" x14ac:dyDescent="0.3">
      <c r="A698" s="7" t="s">
        <v>715</v>
      </c>
      <c r="B698" s="8" t="s">
        <v>1719</v>
      </c>
      <c r="C698" s="8">
        <v>51</v>
      </c>
      <c r="D698" s="8" t="s">
        <v>720</v>
      </c>
      <c r="E698" s="8" t="s">
        <v>724</v>
      </c>
      <c r="F698" s="7" t="s">
        <v>729</v>
      </c>
      <c r="G698" s="7" t="s">
        <v>810</v>
      </c>
      <c r="H698" s="7" t="s">
        <v>764</v>
      </c>
      <c r="I698" s="7" t="s">
        <v>930</v>
      </c>
      <c r="J698" s="7">
        <f t="shared" si="110"/>
        <v>10</v>
      </c>
      <c r="K698" s="9">
        <f t="shared" si="111"/>
        <v>120000</v>
      </c>
      <c r="L698" s="7">
        <v>2</v>
      </c>
      <c r="M698" s="9">
        <f t="shared" si="112"/>
        <v>240000</v>
      </c>
      <c r="N698" s="9">
        <f t="shared" si="113"/>
        <v>156000</v>
      </c>
      <c r="O698" s="7" t="s">
        <v>1006</v>
      </c>
      <c r="P698" s="10">
        <f t="shared" si="114"/>
        <v>0.15</v>
      </c>
      <c r="Q698" s="9">
        <f t="shared" si="115"/>
        <v>36000</v>
      </c>
      <c r="R698" s="9">
        <f t="shared" si="116"/>
        <v>204000</v>
      </c>
      <c r="S698" s="9" t="str">
        <f t="shared" si="117"/>
        <v>Profit</v>
      </c>
      <c r="T698" s="7" t="str">
        <f t="shared" si="118"/>
        <v>Jun</v>
      </c>
      <c r="U698" s="7">
        <f t="shared" si="119"/>
        <v>2025</v>
      </c>
      <c r="V698" s="7" t="str">
        <f t="shared" si="120"/>
        <v>50-55</v>
      </c>
    </row>
    <row r="699" spans="1:22" x14ac:dyDescent="0.3">
      <c r="A699" s="7" t="s">
        <v>716</v>
      </c>
      <c r="B699" s="8" t="s">
        <v>1720</v>
      </c>
      <c r="C699" s="8">
        <v>33</v>
      </c>
      <c r="D699" s="8" t="s">
        <v>721</v>
      </c>
      <c r="E699" s="8" t="s">
        <v>724</v>
      </c>
      <c r="F699" s="7" t="s">
        <v>735</v>
      </c>
      <c r="G699" s="7" t="s">
        <v>840</v>
      </c>
      <c r="H699" s="7" t="s">
        <v>910</v>
      </c>
      <c r="I699" s="7" t="s">
        <v>739</v>
      </c>
      <c r="J699" s="7">
        <f t="shared" si="110"/>
        <v>10</v>
      </c>
      <c r="K699" s="9">
        <f t="shared" si="111"/>
        <v>120000</v>
      </c>
      <c r="L699" s="7">
        <v>2</v>
      </c>
      <c r="M699" s="9">
        <f t="shared" si="112"/>
        <v>240000</v>
      </c>
      <c r="N699" s="9">
        <f t="shared" si="113"/>
        <v>156000</v>
      </c>
      <c r="O699" s="7" t="s">
        <v>1006</v>
      </c>
      <c r="P699" s="10">
        <f t="shared" si="114"/>
        <v>0.15</v>
      </c>
      <c r="Q699" s="9">
        <f t="shared" si="115"/>
        <v>36000</v>
      </c>
      <c r="R699" s="9">
        <f t="shared" si="116"/>
        <v>204000</v>
      </c>
      <c r="S699" s="9" t="str">
        <f t="shared" si="117"/>
        <v>Profit</v>
      </c>
      <c r="T699" s="7" t="str">
        <f t="shared" si="118"/>
        <v>May</v>
      </c>
      <c r="U699" s="7">
        <f t="shared" si="119"/>
        <v>2025</v>
      </c>
      <c r="V699" s="7" t="str">
        <f t="shared" si="120"/>
        <v>30-35</v>
      </c>
    </row>
    <row r="700" spans="1:22" x14ac:dyDescent="0.3">
      <c r="A700" s="7" t="s">
        <v>717</v>
      </c>
      <c r="B700" s="8" t="s">
        <v>1721</v>
      </c>
      <c r="C700" s="8">
        <v>28</v>
      </c>
      <c r="D700" s="8" t="s">
        <v>720</v>
      </c>
      <c r="E700" s="8" t="s">
        <v>724</v>
      </c>
      <c r="F700" s="7" t="s">
        <v>727</v>
      </c>
      <c r="G700" s="7" t="s">
        <v>810</v>
      </c>
      <c r="H700" s="7" t="s">
        <v>796</v>
      </c>
      <c r="I700" s="7" t="s">
        <v>736</v>
      </c>
      <c r="J700" s="7">
        <f t="shared" si="110"/>
        <v>10</v>
      </c>
      <c r="K700" s="9">
        <f t="shared" si="111"/>
        <v>120000</v>
      </c>
      <c r="L700" s="7">
        <v>3</v>
      </c>
      <c r="M700" s="9">
        <f t="shared" si="112"/>
        <v>360000</v>
      </c>
      <c r="N700" s="9">
        <f t="shared" si="113"/>
        <v>234000</v>
      </c>
      <c r="O700" s="7" t="s">
        <v>1007</v>
      </c>
      <c r="P700" s="10">
        <f t="shared" si="114"/>
        <v>0</v>
      </c>
      <c r="Q700" s="9">
        <f t="shared" si="115"/>
        <v>0</v>
      </c>
      <c r="R700" s="9">
        <f t="shared" si="116"/>
        <v>5000</v>
      </c>
      <c r="S700" s="9" t="str">
        <f t="shared" si="117"/>
        <v>Loss</v>
      </c>
      <c r="T700" s="7" t="str">
        <f t="shared" si="118"/>
        <v>Jun</v>
      </c>
      <c r="U700" s="7">
        <f t="shared" si="119"/>
        <v>2025</v>
      </c>
      <c r="V700" s="7" t="str">
        <f t="shared" si="120"/>
        <v>25-30</v>
      </c>
    </row>
    <row r="701" spans="1:22" x14ac:dyDescent="0.3">
      <c r="A701" s="7" t="s">
        <v>718</v>
      </c>
      <c r="B701" s="8" t="s">
        <v>1722</v>
      </c>
      <c r="C701" s="8">
        <v>27</v>
      </c>
      <c r="D701" s="8" t="s">
        <v>720</v>
      </c>
      <c r="E701" s="8" t="s">
        <v>722</v>
      </c>
      <c r="F701" s="7" t="s">
        <v>734</v>
      </c>
      <c r="G701" s="7" t="s">
        <v>827</v>
      </c>
      <c r="H701" s="7" t="s">
        <v>909</v>
      </c>
      <c r="I701" s="7" t="s">
        <v>768</v>
      </c>
      <c r="J701" s="7">
        <f t="shared" si="110"/>
        <v>5</v>
      </c>
      <c r="K701" s="9">
        <f t="shared" si="111"/>
        <v>60000</v>
      </c>
      <c r="L701" s="7">
        <v>3</v>
      </c>
      <c r="M701" s="9">
        <f t="shared" si="112"/>
        <v>180000</v>
      </c>
      <c r="N701" s="9">
        <f t="shared" si="113"/>
        <v>117000</v>
      </c>
      <c r="O701" s="7" t="s">
        <v>1006</v>
      </c>
      <c r="P701" s="10">
        <f t="shared" si="114"/>
        <v>0.1</v>
      </c>
      <c r="Q701" s="9">
        <f t="shared" si="115"/>
        <v>18000</v>
      </c>
      <c r="R701" s="9">
        <f t="shared" si="116"/>
        <v>162000</v>
      </c>
      <c r="S701" s="9" t="str">
        <f t="shared" si="117"/>
        <v>Profit</v>
      </c>
      <c r="T701" s="7" t="str">
        <f t="shared" si="118"/>
        <v>Apr</v>
      </c>
      <c r="U701" s="7">
        <f t="shared" si="119"/>
        <v>2025</v>
      </c>
      <c r="V701" s="7" t="str">
        <f t="shared" si="120"/>
        <v>25-30</v>
      </c>
    </row>
    <row r="702" spans="1:22" x14ac:dyDescent="0.3">
      <c r="A702" s="7" t="s">
        <v>719</v>
      </c>
      <c r="B702" s="8" t="s">
        <v>1723</v>
      </c>
      <c r="C702" s="8">
        <v>54</v>
      </c>
      <c r="D702" s="8" t="s">
        <v>721</v>
      </c>
      <c r="E702" s="8" t="s">
        <v>723</v>
      </c>
      <c r="F702" s="7" t="s">
        <v>735</v>
      </c>
      <c r="G702" s="7" t="s">
        <v>810</v>
      </c>
      <c r="H702" s="7" t="s">
        <v>943</v>
      </c>
      <c r="I702" s="7" t="s">
        <v>918</v>
      </c>
      <c r="J702" s="7">
        <f t="shared" si="110"/>
        <v>7</v>
      </c>
      <c r="K702" s="9">
        <f t="shared" si="111"/>
        <v>70000</v>
      </c>
      <c r="L702" s="7">
        <v>4</v>
      </c>
      <c r="M702" s="9">
        <f t="shared" si="112"/>
        <v>280000</v>
      </c>
      <c r="N702" s="9">
        <f t="shared" si="113"/>
        <v>168000</v>
      </c>
      <c r="O702" s="7" t="s">
        <v>1007</v>
      </c>
      <c r="P702" s="10">
        <f t="shared" si="114"/>
        <v>0</v>
      </c>
      <c r="Q702" s="9">
        <f t="shared" si="115"/>
        <v>0</v>
      </c>
      <c r="R702" s="9">
        <f t="shared" si="116"/>
        <v>5000</v>
      </c>
      <c r="S702" s="9" t="str">
        <f t="shared" si="117"/>
        <v>Loss</v>
      </c>
      <c r="T702" s="7" t="str">
        <f t="shared" si="118"/>
        <v>Jun</v>
      </c>
      <c r="U702" s="7">
        <f t="shared" si="119"/>
        <v>2025</v>
      </c>
      <c r="V702" s="7" t="str">
        <f t="shared" si="120"/>
        <v>50-55</v>
      </c>
    </row>
    <row r="703" spans="1:22" x14ac:dyDescent="0.3">
      <c r="R703" s="3">
        <f>SUM(R3:R702)</f>
        <v>54929700</v>
      </c>
    </row>
  </sheetData>
  <autoFilter ref="A2:X2" xr:uid="{00000000-0001-0000-0000-000000000000}"/>
  <mergeCells count="1">
    <mergeCell ref="A1:V1"/>
  </mergeCells>
  <conditionalFormatting sqref="R3:R702">
    <cfRule type="containsText" dxfId="243" priority="2" operator="containsText" text="5000">
      <formula>NOT(ISERROR(SEARCH("5000",R3)))</formula>
    </cfRule>
  </conditionalFormatting>
  <conditionalFormatting sqref="S3:S702">
    <cfRule type="containsText" dxfId="242" priority="1" operator="containsText" text="Profit">
      <formula>NOT(ISERROR(SEARCH("Profit",S3)))</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CB826-744E-4565-819F-727D6EA8285B}">
  <dimension ref="A2:L26"/>
  <sheetViews>
    <sheetView workbookViewId="0">
      <selection activeCell="E13" sqref="E13"/>
    </sheetView>
  </sheetViews>
  <sheetFormatPr defaultRowHeight="14.4" x14ac:dyDescent="0.3"/>
  <cols>
    <col min="1" max="1" width="11.21875" style="1" bestFit="1" customWidth="1"/>
    <col min="2" max="2" width="18.44140625" style="1" bestFit="1" customWidth="1"/>
    <col min="3" max="3" width="7.33203125" style="1" customWidth="1"/>
    <col min="4" max="4" width="10.77734375" style="1" bestFit="1" customWidth="1"/>
    <col min="5" max="5" width="18.109375" style="1" bestFit="1" customWidth="1"/>
    <col min="6" max="6" width="8.88671875" style="1"/>
    <col min="7" max="7" width="14.21875" style="1" bestFit="1" customWidth="1"/>
    <col min="8" max="8" width="22.44140625" style="1" bestFit="1" customWidth="1"/>
    <col min="9" max="9" width="18.44140625" style="1" bestFit="1" customWidth="1"/>
    <col min="10" max="10" width="11.5546875" style="1" bestFit="1" customWidth="1"/>
    <col min="11" max="11" width="14.6640625" style="1" bestFit="1" customWidth="1"/>
    <col min="12" max="12" width="18.44140625" style="1" bestFit="1" customWidth="1"/>
    <col min="13" max="13" width="22.44140625" style="1" bestFit="1" customWidth="1"/>
    <col min="14" max="16384" width="8.88671875" style="1"/>
  </cols>
  <sheetData>
    <row r="2" spans="1:11" ht="15.6" x14ac:dyDescent="0.3">
      <c r="A2" s="19" t="s">
        <v>1019</v>
      </c>
      <c r="B2" s="19"/>
      <c r="D2" s="19" t="s">
        <v>1739</v>
      </c>
      <c r="E2" s="19"/>
      <c r="G2" s="19" t="s">
        <v>1741</v>
      </c>
      <c r="H2" s="19"/>
      <c r="J2" s="19" t="s">
        <v>1742</v>
      </c>
      <c r="K2" s="19"/>
    </row>
    <row r="3" spans="1:11" x14ac:dyDescent="0.3">
      <c r="A3" s="4" t="s">
        <v>17</v>
      </c>
      <c r="B3" s="1" t="s">
        <v>1018</v>
      </c>
      <c r="D3" s="4" t="s">
        <v>1738</v>
      </c>
      <c r="E3" s="1" t="s">
        <v>1018</v>
      </c>
      <c r="G3" s="4" t="s">
        <v>19</v>
      </c>
      <c r="H3" s="1" t="s">
        <v>1018</v>
      </c>
      <c r="J3" s="4" t="s">
        <v>1759</v>
      </c>
      <c r="K3" s="1" t="s">
        <v>1018</v>
      </c>
    </row>
    <row r="4" spans="1:11" x14ac:dyDescent="0.3">
      <c r="A4" s="1" t="s">
        <v>1009</v>
      </c>
      <c r="B4" s="20">
        <v>8467100</v>
      </c>
      <c r="D4" s="1" t="s">
        <v>1725</v>
      </c>
      <c r="E4" s="20">
        <v>146800</v>
      </c>
      <c r="G4" s="1" t="s">
        <v>1749</v>
      </c>
      <c r="H4" s="20">
        <v>2237800</v>
      </c>
      <c r="J4" s="1">
        <v>4</v>
      </c>
      <c r="K4" s="20">
        <v>3435100</v>
      </c>
    </row>
    <row r="5" spans="1:11" x14ac:dyDescent="0.3">
      <c r="A5" s="1" t="s">
        <v>1015</v>
      </c>
      <c r="B5" s="20">
        <v>6758200</v>
      </c>
      <c r="D5" s="1" t="s">
        <v>1729</v>
      </c>
      <c r="E5" s="20">
        <v>161800</v>
      </c>
      <c r="G5" s="1" t="s">
        <v>1750</v>
      </c>
      <c r="H5" s="20">
        <v>5394200</v>
      </c>
      <c r="J5" s="1">
        <v>5</v>
      </c>
      <c r="K5" s="20">
        <v>9004000</v>
      </c>
    </row>
    <row r="6" spans="1:11" x14ac:dyDescent="0.3">
      <c r="A6" s="1" t="s">
        <v>1014</v>
      </c>
      <c r="B6" s="20">
        <v>6579700</v>
      </c>
      <c r="D6" s="1" t="s">
        <v>734</v>
      </c>
      <c r="E6" s="20">
        <v>4795900</v>
      </c>
      <c r="G6" s="1" t="s">
        <v>1751</v>
      </c>
      <c r="H6" s="20">
        <v>12338200</v>
      </c>
      <c r="J6" s="1">
        <v>7</v>
      </c>
      <c r="K6" s="20">
        <v>11146600</v>
      </c>
    </row>
    <row r="7" spans="1:11" x14ac:dyDescent="0.3">
      <c r="A7" s="1" t="s">
        <v>1012</v>
      </c>
      <c r="B7" s="20">
        <v>4339600</v>
      </c>
      <c r="D7" s="1" t="s">
        <v>730</v>
      </c>
      <c r="E7" s="20">
        <v>5675800</v>
      </c>
      <c r="G7" s="1" t="s">
        <v>1752</v>
      </c>
      <c r="H7" s="20">
        <v>9253200</v>
      </c>
      <c r="J7" s="1">
        <v>8</v>
      </c>
      <c r="K7" s="20">
        <v>11589000</v>
      </c>
    </row>
    <row r="8" spans="1:11" x14ac:dyDescent="0.3">
      <c r="A8" s="1" t="s">
        <v>1010</v>
      </c>
      <c r="B8" s="20">
        <v>8907100</v>
      </c>
      <c r="D8" s="1" t="s">
        <v>732</v>
      </c>
      <c r="E8" s="20">
        <v>3763400</v>
      </c>
      <c r="G8" s="1" t="s">
        <v>1753</v>
      </c>
      <c r="H8" s="20">
        <v>4417500</v>
      </c>
      <c r="J8" s="1">
        <v>10</v>
      </c>
      <c r="K8" s="20">
        <v>19755000</v>
      </c>
    </row>
    <row r="9" spans="1:11" x14ac:dyDescent="0.3">
      <c r="A9" s="1" t="s">
        <v>1011</v>
      </c>
      <c r="B9" s="20">
        <v>6903600</v>
      </c>
      <c r="D9" s="1" t="s">
        <v>1736</v>
      </c>
      <c r="E9" s="20">
        <v>4023000</v>
      </c>
      <c r="G9" s="1" t="s">
        <v>1754</v>
      </c>
      <c r="H9" s="20">
        <v>6170000</v>
      </c>
      <c r="J9" s="1" t="s">
        <v>1017</v>
      </c>
      <c r="K9" s="20">
        <v>54929700</v>
      </c>
    </row>
    <row r="10" spans="1:11" x14ac:dyDescent="0.3">
      <c r="A10" s="1" t="s">
        <v>1008</v>
      </c>
      <c r="B10" s="20">
        <v>7737200</v>
      </c>
      <c r="D10" s="1" t="s">
        <v>1735</v>
      </c>
      <c r="E10" s="20">
        <v>2095000</v>
      </c>
      <c r="G10" s="1" t="s">
        <v>1755</v>
      </c>
      <c r="H10" s="20">
        <v>4882500</v>
      </c>
    </row>
    <row r="11" spans="1:11" x14ac:dyDescent="0.3">
      <c r="A11" s="1" t="s">
        <v>1013</v>
      </c>
      <c r="B11" s="20">
        <v>5237200</v>
      </c>
      <c r="D11" s="1" t="s">
        <v>1733</v>
      </c>
      <c r="E11" s="20">
        <v>300700</v>
      </c>
      <c r="G11" s="1" t="s">
        <v>1756</v>
      </c>
      <c r="H11" s="20">
        <v>6111800</v>
      </c>
    </row>
    <row r="12" spans="1:11" ht="15.6" x14ac:dyDescent="0.3">
      <c r="A12" s="1" t="s">
        <v>1017</v>
      </c>
      <c r="B12" s="20">
        <v>54929700</v>
      </c>
      <c r="D12" s="1" t="s">
        <v>1017</v>
      </c>
      <c r="E12" s="20">
        <v>20962400</v>
      </c>
      <c r="G12" s="1" t="s">
        <v>1757</v>
      </c>
      <c r="H12" s="20">
        <v>3458300</v>
      </c>
      <c r="J12" s="19" t="s">
        <v>1743</v>
      </c>
      <c r="K12" s="19"/>
    </row>
    <row r="13" spans="1:11" x14ac:dyDescent="0.3">
      <c r="D13" s="4" t="s">
        <v>13</v>
      </c>
      <c r="E13" s="1" t="s">
        <v>1020</v>
      </c>
      <c r="G13" s="1" t="s">
        <v>1758</v>
      </c>
      <c r="H13" s="20">
        <v>666200</v>
      </c>
      <c r="J13" s="4" t="s">
        <v>3</v>
      </c>
      <c r="K13" s="1" t="s">
        <v>1020</v>
      </c>
    </row>
    <row r="14" spans="1:11" x14ac:dyDescent="0.3">
      <c r="D14" s="1" t="s">
        <v>1006</v>
      </c>
      <c r="E14" s="20">
        <v>362</v>
      </c>
      <c r="G14" s="1" t="s">
        <v>1017</v>
      </c>
      <c r="H14" s="20">
        <v>54929700</v>
      </c>
      <c r="J14" s="1" t="s">
        <v>721</v>
      </c>
      <c r="K14" s="20">
        <v>351</v>
      </c>
    </row>
    <row r="15" spans="1:11" ht="15.6" x14ac:dyDescent="0.3">
      <c r="A15" s="19" t="s">
        <v>1737</v>
      </c>
      <c r="B15" s="19"/>
      <c r="D15" s="1" t="s">
        <v>1007</v>
      </c>
      <c r="E15" s="20">
        <v>338</v>
      </c>
      <c r="J15" s="1" t="s">
        <v>720</v>
      </c>
      <c r="K15" s="20">
        <v>349</v>
      </c>
    </row>
    <row r="16" spans="1:11" x14ac:dyDescent="0.3">
      <c r="A16" s="4" t="s">
        <v>1748</v>
      </c>
      <c r="B16" s="1" t="s">
        <v>1020</v>
      </c>
      <c r="D16" s="1" t="s">
        <v>1017</v>
      </c>
      <c r="E16" s="20">
        <v>700</v>
      </c>
      <c r="J16" s="1" t="s">
        <v>1017</v>
      </c>
      <c r="K16" s="20">
        <v>700</v>
      </c>
    </row>
    <row r="17" spans="1:12" ht="15.6" x14ac:dyDescent="0.3">
      <c r="A17" s="1" t="s">
        <v>722</v>
      </c>
      <c r="B17" s="20">
        <v>125</v>
      </c>
      <c r="G17" s="19" t="s">
        <v>1023</v>
      </c>
      <c r="H17" s="19"/>
      <c r="I17" s="19"/>
    </row>
    <row r="18" spans="1:12" x14ac:dyDescent="0.3">
      <c r="A18" s="1" t="s">
        <v>726</v>
      </c>
      <c r="B18" s="20">
        <v>141</v>
      </c>
      <c r="G18" s="4" t="s">
        <v>1024</v>
      </c>
      <c r="H18" s="1" t="s">
        <v>1022</v>
      </c>
      <c r="I18" s="1" t="s">
        <v>1018</v>
      </c>
    </row>
    <row r="19" spans="1:12" ht="15.6" x14ac:dyDescent="0.3">
      <c r="A19" s="1" t="s">
        <v>723</v>
      </c>
      <c r="B19" s="20">
        <v>139</v>
      </c>
      <c r="D19" s="19" t="s">
        <v>1740</v>
      </c>
      <c r="E19" s="19"/>
      <c r="G19" s="2">
        <v>0</v>
      </c>
      <c r="H19" s="20">
        <v>0</v>
      </c>
      <c r="I19" s="20">
        <v>1690000</v>
      </c>
      <c r="K19" s="19" t="s">
        <v>1760</v>
      </c>
      <c r="L19" s="19"/>
    </row>
    <row r="20" spans="1:12" x14ac:dyDescent="0.3">
      <c r="A20" s="1" t="s">
        <v>725</v>
      </c>
      <c r="B20" s="20">
        <v>141</v>
      </c>
      <c r="D20" s="4" t="s">
        <v>1748</v>
      </c>
      <c r="E20" s="1" t="s">
        <v>1021</v>
      </c>
      <c r="G20" s="2">
        <v>0.05</v>
      </c>
      <c r="H20" s="20">
        <v>162900</v>
      </c>
      <c r="I20" s="20">
        <v>3095100</v>
      </c>
      <c r="K20" s="4" t="s">
        <v>1747</v>
      </c>
      <c r="L20" s="1" t="s">
        <v>1018</v>
      </c>
    </row>
    <row r="21" spans="1:12" x14ac:dyDescent="0.3">
      <c r="A21" s="1" t="s">
        <v>724</v>
      </c>
      <c r="B21" s="20">
        <v>154</v>
      </c>
      <c r="D21" s="1" t="s">
        <v>722</v>
      </c>
      <c r="E21" s="20">
        <v>60000</v>
      </c>
      <c r="G21" s="2">
        <v>7.0000000000000007E-2</v>
      </c>
      <c r="H21" s="20">
        <v>813400.00000000012</v>
      </c>
      <c r="I21" s="20">
        <v>10806600</v>
      </c>
      <c r="K21" s="1" t="s">
        <v>1746</v>
      </c>
      <c r="L21" s="20">
        <v>1690000</v>
      </c>
    </row>
    <row r="22" spans="1:12" x14ac:dyDescent="0.3">
      <c r="A22" s="1" t="s">
        <v>1017</v>
      </c>
      <c r="B22" s="20">
        <v>700</v>
      </c>
      <c r="D22" s="1" t="s">
        <v>726</v>
      </c>
      <c r="E22" s="20">
        <v>18000</v>
      </c>
      <c r="G22" s="2">
        <v>0.1</v>
      </c>
      <c r="H22" s="20">
        <v>966000</v>
      </c>
      <c r="I22" s="20">
        <v>8694000</v>
      </c>
      <c r="K22" s="1" t="s">
        <v>1745</v>
      </c>
      <c r="L22" s="20">
        <v>53239700</v>
      </c>
    </row>
    <row r="23" spans="1:12" x14ac:dyDescent="0.3">
      <c r="D23" s="1" t="s">
        <v>723</v>
      </c>
      <c r="E23" s="20">
        <v>70000</v>
      </c>
      <c r="G23" s="2">
        <v>0.12</v>
      </c>
      <c r="H23" s="20">
        <v>1536000</v>
      </c>
      <c r="I23" s="20">
        <v>11264000</v>
      </c>
      <c r="K23" s="1" t="s">
        <v>1017</v>
      </c>
      <c r="L23" s="20">
        <v>54929700</v>
      </c>
    </row>
    <row r="24" spans="1:12" x14ac:dyDescent="0.3">
      <c r="D24" s="1" t="s">
        <v>725</v>
      </c>
      <c r="E24" s="20">
        <v>80000</v>
      </c>
      <c r="G24" s="2">
        <v>0.15</v>
      </c>
      <c r="H24" s="20">
        <v>3420000</v>
      </c>
      <c r="I24" s="20">
        <v>19380000</v>
      </c>
    </row>
    <row r="25" spans="1:12" x14ac:dyDescent="0.3">
      <c r="D25" s="1" t="s">
        <v>724</v>
      </c>
      <c r="E25" s="20">
        <v>120000</v>
      </c>
      <c r="G25" s="2" t="s">
        <v>1017</v>
      </c>
      <c r="H25" s="20">
        <v>6898300</v>
      </c>
      <c r="I25" s="20">
        <v>54929700</v>
      </c>
    </row>
    <row r="26" spans="1:12" x14ac:dyDescent="0.3">
      <c r="D26" s="1" t="s">
        <v>1017</v>
      </c>
      <c r="E26" s="5">
        <v>70754.28571428571</v>
      </c>
    </row>
  </sheetData>
  <mergeCells count="9">
    <mergeCell ref="D19:E19"/>
    <mergeCell ref="G17:I17"/>
    <mergeCell ref="J12:K12"/>
    <mergeCell ref="K19:L19"/>
    <mergeCell ref="A2:B2"/>
    <mergeCell ref="A15:B15"/>
    <mergeCell ref="D2:E2"/>
    <mergeCell ref="G2:H2"/>
    <mergeCell ref="J2:K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8165F-FE2C-4BF7-9494-EDF298A47325}">
  <dimension ref="A1"/>
  <sheetViews>
    <sheetView showGridLines="0" tabSelected="1" zoomScale="80" zoomScaleNormal="80" workbookViewId="0">
      <selection activeCell="U1" sqref="U1:U104857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 Calculations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Dipu Gaikar</dc:creator>
  <cp:lastModifiedBy>Dipu E</cp:lastModifiedBy>
  <dcterms:created xsi:type="dcterms:W3CDTF">2025-09-18T04:57:42Z</dcterms:created>
  <dcterms:modified xsi:type="dcterms:W3CDTF">2025-11-12T16:58:26Z</dcterms:modified>
</cp:coreProperties>
</file>